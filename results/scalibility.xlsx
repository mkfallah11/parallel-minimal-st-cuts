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 Forqani\fig\"/>
    </mc:Choice>
  </mc:AlternateContent>
  <xr:revisionPtr revIDLastSave="0" documentId="13_ncr:1_{B8AA1B2E-D01B-4B77-8CCD-A53C2020B61E}" xr6:coauthVersionLast="47" xr6:coauthVersionMax="47" xr10:uidLastSave="{00000000-0000-0000-0000-000000000000}"/>
  <bookViews>
    <workbookView xWindow="-110" yWindow="-110" windowWidth="25820" windowHeight="13900" activeTab="12" xr2:uid="{3A425C46-B51B-4D6A-9129-732EB3F1A9B4}"/>
  </bookViews>
  <sheets>
    <sheet name="n12d4" sheetId="4" r:id="rId1"/>
    <sheet name="n12d6" sheetId="5" r:id="rId2"/>
    <sheet name="n12d8" sheetId="6" r:id="rId3"/>
    <sheet name="n16d4" sheetId="7" r:id="rId4"/>
    <sheet name="n16d6" sheetId="8" r:id="rId5"/>
    <sheet name="n16d8" sheetId="9" r:id="rId6"/>
    <sheet name="n20d4" sheetId="10" r:id="rId7"/>
    <sheet name="n20d6" sheetId="11" r:id="rId8"/>
    <sheet name="n20d8" sheetId="12" r:id="rId9"/>
    <sheet name="n24d4" sheetId="13" r:id="rId10"/>
    <sheet name="n24d6" sheetId="14" r:id="rId11"/>
    <sheet name="n24d8" sheetId="15" r:id="rId12"/>
    <sheet name="efficiency" sheetId="17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7" l="1"/>
  <c r="I3" i="17"/>
  <c r="J3" i="17"/>
  <c r="K3" i="17"/>
  <c r="H4" i="17"/>
  <c r="I4" i="17"/>
  <c r="J4" i="17"/>
  <c r="K4" i="17"/>
  <c r="H5" i="17"/>
  <c r="I5" i="17"/>
  <c r="J5" i="17"/>
  <c r="K5" i="17"/>
  <c r="H6" i="17"/>
  <c r="I6" i="17"/>
  <c r="J6" i="17"/>
  <c r="K6" i="17"/>
  <c r="H7" i="17"/>
  <c r="I7" i="17"/>
  <c r="J7" i="17"/>
  <c r="K7" i="17"/>
  <c r="H8" i="17"/>
  <c r="I8" i="17"/>
  <c r="J8" i="17"/>
  <c r="K8" i="17"/>
  <c r="H9" i="17"/>
  <c r="I9" i="17"/>
  <c r="J9" i="17"/>
  <c r="K9" i="17"/>
  <c r="H10" i="17"/>
  <c r="I10" i="17"/>
  <c r="J10" i="17"/>
  <c r="K10" i="17"/>
  <c r="H11" i="17"/>
  <c r="I11" i="17"/>
  <c r="J11" i="17"/>
  <c r="K11" i="17"/>
  <c r="H12" i="17"/>
  <c r="I12" i="17"/>
  <c r="J12" i="17"/>
  <c r="K12" i="17"/>
  <c r="H13" i="17"/>
  <c r="I13" i="17"/>
  <c r="J13" i="17"/>
  <c r="K13" i="17"/>
  <c r="H14" i="17"/>
  <c r="I14" i="17"/>
  <c r="J14" i="17"/>
  <c r="K14" i="17"/>
  <c r="H15" i="17"/>
  <c r="I15" i="17"/>
  <c r="J15" i="17"/>
  <c r="K15" i="17"/>
  <c r="H16" i="17"/>
  <c r="I16" i="17"/>
  <c r="J16" i="17"/>
  <c r="K16" i="17"/>
  <c r="H17" i="17"/>
  <c r="I17" i="17"/>
  <c r="J17" i="17"/>
  <c r="K17" i="17"/>
  <c r="H18" i="17"/>
  <c r="I18" i="17"/>
  <c r="J18" i="17"/>
  <c r="K18" i="17"/>
  <c r="H19" i="17"/>
  <c r="I19" i="17"/>
  <c r="J19" i="17"/>
  <c r="K19" i="17"/>
  <c r="H20" i="17"/>
  <c r="I20" i="17"/>
  <c r="J20" i="17"/>
  <c r="K20" i="17"/>
  <c r="H21" i="17"/>
  <c r="I21" i="17"/>
  <c r="J21" i="17"/>
  <c r="K21" i="17"/>
  <c r="H22" i="17"/>
  <c r="I22" i="17"/>
  <c r="J22" i="17"/>
  <c r="K22" i="17"/>
  <c r="H23" i="17"/>
  <c r="I23" i="17"/>
  <c r="J23" i="17"/>
  <c r="K23" i="17"/>
  <c r="H24" i="17"/>
  <c r="I24" i="17"/>
  <c r="J24" i="17"/>
  <c r="K24" i="17"/>
  <c r="H25" i="17"/>
  <c r="I25" i="17"/>
  <c r="J25" i="17"/>
  <c r="K25" i="17"/>
  <c r="H26" i="17"/>
  <c r="I26" i="17"/>
  <c r="J26" i="17"/>
  <c r="K26" i="17"/>
  <c r="H27" i="17"/>
  <c r="I27" i="17"/>
  <c r="J27" i="17"/>
  <c r="K27" i="17"/>
  <c r="H28" i="17"/>
  <c r="I28" i="17"/>
  <c r="J28" i="17"/>
  <c r="K28" i="17"/>
  <c r="H29" i="17"/>
  <c r="I29" i="17"/>
  <c r="J29" i="17"/>
  <c r="K29" i="17"/>
  <c r="H30" i="17"/>
  <c r="I30" i="17"/>
  <c r="J30" i="17"/>
  <c r="K30" i="17"/>
  <c r="H31" i="17"/>
  <c r="I31" i="17"/>
  <c r="J31" i="17"/>
  <c r="K31" i="17"/>
  <c r="K2" i="17"/>
  <c r="J2" i="17"/>
  <c r="I2" i="17"/>
  <c r="H2" i="1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1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1" i="5"/>
  <c r="C10" i="5"/>
  <c r="C9" i="5"/>
  <c r="C8" i="5"/>
  <c r="C7" i="5"/>
  <c r="C6" i="5"/>
  <c r="C5" i="5"/>
  <c r="C4" i="5"/>
  <c r="C3" i="5"/>
  <c r="C2" i="5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</calcChain>
</file>

<file path=xl/sharedStrings.xml><?xml version="1.0" encoding="utf-8"?>
<sst xmlns="http://schemas.openxmlformats.org/spreadsheetml/2006/main" count="525" uniqueCount="20">
  <si>
    <t>Solver</t>
  </si>
  <si>
    <t>Threads</t>
  </si>
  <si>
    <t>Adaptive</t>
  </si>
  <si>
    <t>OpenMP Sections</t>
  </si>
  <si>
    <t>OpenMP Tasks</t>
  </si>
  <si>
    <t>Dynamic Tasking</t>
  </si>
  <si>
    <t>Explicit Work Queue</t>
  </si>
  <si>
    <t>t=4</t>
  </si>
  <si>
    <t>t=8</t>
  </si>
  <si>
    <t>t=12</t>
  </si>
  <si>
    <t>t=16</t>
  </si>
  <si>
    <t>t=20</t>
  </si>
  <si>
    <t>t=2</t>
  </si>
  <si>
    <t>Speedup</t>
  </si>
  <si>
    <t>Parallel execution time (ms)</t>
  </si>
  <si>
    <t>Serial execution time (ms)</t>
  </si>
  <si>
    <t>n=12  d=4</t>
  </si>
  <si>
    <t>n=16  d=4</t>
  </si>
  <si>
    <t>n=20  d=4</t>
  </si>
  <si>
    <t>n=24  d=4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</si>
</sst>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Shabnam Medium FD"/>
      <family val="2"/>
    </font>
    <font>
      <sz val="14"/>
      <color theme="1"/>
      <name val="Shabnam Medium F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n12d4!$C$1</c:f>
              <c:strCache>
                <c:ptCount val="1"/>
                <c:pt idx="0">
                  <c:v>Speedup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58-4AD5-AEAC-101C83EDC8C5}"/>
              </c:ext>
            </c:extLst>
          </c:dPt>
          <c:dPt>
            <c:idx val="8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58-4AD5-AEAC-101C83EDC8C5}"/>
              </c:ext>
            </c:extLst>
          </c:dPt>
          <c:dPt>
            <c:idx val="16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C58-4AD5-AEAC-101C83EDC8C5}"/>
              </c:ext>
            </c:extLst>
          </c:dPt>
          <c:dPt>
            <c:idx val="17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C58-4AD5-AEAC-101C83EDC8C5}"/>
              </c:ext>
            </c:extLst>
          </c:dPt>
          <c:dPt>
            <c:idx val="21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C58-4AD5-AEAC-101C83EDC8C5}"/>
              </c:ext>
            </c:extLst>
          </c:dPt>
          <c:dPt>
            <c:idx val="22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C58-4AD5-AEAC-101C83EDC8C5}"/>
              </c:ext>
            </c:extLst>
          </c:dPt>
          <c:dPt>
            <c:idx val="27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C58-4AD5-AEAC-101C83EDC8C5}"/>
              </c:ext>
            </c:extLst>
          </c:dPt>
          <c:dPt>
            <c:idx val="28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8C58-4AD5-AEAC-101C83EDC8C5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58-4AD5-AEAC-101C83EDC8C5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58-4AD5-AEAC-101C83EDC8C5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58-4AD5-AEAC-101C83EDC8C5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C58-4AD5-AEAC-101C83EDC8C5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C58-4AD5-AEAC-101C83EDC8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n12d4!$A$2:$B$31</c:f>
              <c:multiLvlStrCache>
                <c:ptCount val="30"/>
                <c:lvl>
                  <c:pt idx="0">
                    <c:v>t=2</c:v>
                  </c:pt>
                  <c:pt idx="1">
                    <c:v>t=4</c:v>
                  </c:pt>
                  <c:pt idx="2">
                    <c:v>t=8</c:v>
                  </c:pt>
                  <c:pt idx="3">
                    <c:v>t=12</c:v>
                  </c:pt>
                  <c:pt idx="4">
                    <c:v>t=16</c:v>
                  </c:pt>
                  <c:pt idx="5">
                    <c:v>t=20</c:v>
                  </c:pt>
                  <c:pt idx="6">
                    <c:v>t=2</c:v>
                  </c:pt>
                  <c:pt idx="7">
                    <c:v>t=4</c:v>
                  </c:pt>
                  <c:pt idx="8">
                    <c:v>t=8</c:v>
                  </c:pt>
                  <c:pt idx="9">
                    <c:v>t=12</c:v>
                  </c:pt>
                  <c:pt idx="10">
                    <c:v>t=16</c:v>
                  </c:pt>
                  <c:pt idx="11">
                    <c:v>t=20</c:v>
                  </c:pt>
                  <c:pt idx="12">
                    <c:v>t=2</c:v>
                  </c:pt>
                  <c:pt idx="13">
                    <c:v>t=4</c:v>
                  </c:pt>
                  <c:pt idx="14">
                    <c:v>t=8</c:v>
                  </c:pt>
                  <c:pt idx="15">
                    <c:v>t=12</c:v>
                  </c:pt>
                  <c:pt idx="16">
                    <c:v>t=16</c:v>
                  </c:pt>
                  <c:pt idx="17">
                    <c:v>t=20</c:v>
                  </c:pt>
                  <c:pt idx="18">
                    <c:v>t=2</c:v>
                  </c:pt>
                  <c:pt idx="19">
                    <c:v>t=4</c:v>
                  </c:pt>
                  <c:pt idx="20">
                    <c:v>t=8</c:v>
                  </c:pt>
                  <c:pt idx="21">
                    <c:v>t=12</c:v>
                  </c:pt>
                  <c:pt idx="22">
                    <c:v>t=16</c:v>
                  </c:pt>
                  <c:pt idx="23">
                    <c:v>t=20</c:v>
                  </c:pt>
                  <c:pt idx="24">
                    <c:v>t=2</c:v>
                  </c:pt>
                  <c:pt idx="25">
                    <c:v>t=4</c:v>
                  </c:pt>
                  <c:pt idx="26">
                    <c:v>t=8</c:v>
                  </c:pt>
                  <c:pt idx="27">
                    <c:v>t=12</c:v>
                  </c:pt>
                  <c:pt idx="28">
                    <c:v>t=16</c:v>
                  </c:pt>
                  <c:pt idx="29">
                    <c:v>t=20</c:v>
                  </c:pt>
                </c:lvl>
                <c:lvl>
                  <c:pt idx="0">
                    <c:v>OpenMP Sections</c:v>
                  </c:pt>
                  <c:pt idx="6">
                    <c:v>OpenMP Tasks</c:v>
                  </c:pt>
                  <c:pt idx="12">
                    <c:v>Dynamic Tasking</c:v>
                  </c:pt>
                  <c:pt idx="18">
                    <c:v>Explicit Work Queue</c:v>
                  </c:pt>
                  <c:pt idx="24">
                    <c:v>Adaptive</c:v>
                  </c:pt>
                </c:lvl>
              </c:multiLvlStrCache>
            </c:multiLvlStrRef>
          </c:cat>
          <c:val>
            <c:numRef>
              <c:f>n12d4!$C$2:$C$31</c:f>
              <c:numCache>
                <c:formatCode>0.000</c:formatCode>
                <c:ptCount val="30"/>
                <c:pt idx="0">
                  <c:v>1.2510460251046025</c:v>
                </c:pt>
                <c:pt idx="1">
                  <c:v>1.9166666666666665</c:v>
                </c:pt>
                <c:pt idx="2">
                  <c:v>1.9290322580645161</c:v>
                </c:pt>
                <c:pt idx="3">
                  <c:v>2.0620689655172413</c:v>
                </c:pt>
                <c:pt idx="4">
                  <c:v>2.2651515151515151</c:v>
                </c:pt>
                <c:pt idx="5">
                  <c:v>2.9313725490196081</c:v>
                </c:pt>
                <c:pt idx="6">
                  <c:v>1.5904255319148934</c:v>
                </c:pt>
                <c:pt idx="7">
                  <c:v>2.3919999999999999</c:v>
                </c:pt>
                <c:pt idx="8">
                  <c:v>2.9603960396039599</c:v>
                </c:pt>
                <c:pt idx="9">
                  <c:v>2.5338983050847457</c:v>
                </c:pt>
                <c:pt idx="10">
                  <c:v>2.7943925233644857</c:v>
                </c:pt>
                <c:pt idx="11">
                  <c:v>2.0067114093959733</c:v>
                </c:pt>
                <c:pt idx="12">
                  <c:v>1.6703910614525139</c:v>
                </c:pt>
                <c:pt idx="13">
                  <c:v>2.5555555555555554</c:v>
                </c:pt>
                <c:pt idx="14">
                  <c:v>3.21505376344086</c:v>
                </c:pt>
                <c:pt idx="15">
                  <c:v>3.2857142857142856</c:v>
                </c:pt>
                <c:pt idx="16">
                  <c:v>3.5595238095238093</c:v>
                </c:pt>
                <c:pt idx="17">
                  <c:v>3.25</c:v>
                </c:pt>
                <c:pt idx="18">
                  <c:v>1.60752688172043</c:v>
                </c:pt>
                <c:pt idx="19">
                  <c:v>2.5338983050847457</c:v>
                </c:pt>
                <c:pt idx="20">
                  <c:v>3.2857142857142856</c:v>
                </c:pt>
                <c:pt idx="21">
                  <c:v>3.4367816091954024</c:v>
                </c:pt>
                <c:pt idx="22">
                  <c:v>3.3977272727272729</c:v>
                </c:pt>
                <c:pt idx="23">
                  <c:v>3.3977272727272729</c:v>
                </c:pt>
                <c:pt idx="24">
                  <c:v>1.6703910614525139</c:v>
                </c:pt>
                <c:pt idx="25">
                  <c:v>2.5126050420168067</c:v>
                </c:pt>
                <c:pt idx="26">
                  <c:v>3.3595505617977528</c:v>
                </c:pt>
                <c:pt idx="27">
                  <c:v>3.5176470588235289</c:v>
                </c:pt>
                <c:pt idx="28">
                  <c:v>3.7848101265822782</c:v>
                </c:pt>
                <c:pt idx="29">
                  <c:v>3.4367816091954024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C58-4AD5-AEAC-101C83EDC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047072"/>
        <c:axId val="1531045632"/>
      </c:barChart>
      <c:catAx>
        <c:axId val="153104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5632"/>
        <c:crosses val="autoZero"/>
        <c:auto val="1"/>
        <c:lblAlgn val="ctr"/>
        <c:lblOffset val="100"/>
        <c:noMultiLvlLbl val="0"/>
      </c:catAx>
      <c:valAx>
        <c:axId val="1531045632"/>
        <c:scaling>
          <c:orientation val="minMax"/>
          <c:max val="9.199999999999999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layout>
            <c:manualLayout>
              <c:xMode val="edge"/>
              <c:yMode val="edge"/>
              <c:x val="7.6481835564053535E-3"/>
              <c:y val="0.356047408796346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n12d6!$C$1</c:f>
              <c:strCache>
                <c:ptCount val="1"/>
                <c:pt idx="0">
                  <c:v>Speedup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F4-4E9B-B013-B7B532DC532A}"/>
              </c:ext>
            </c:extLst>
          </c:dPt>
          <c:dPt>
            <c:idx val="8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F4-4E9B-B013-B7B532DC532A}"/>
              </c:ext>
            </c:extLst>
          </c:dPt>
          <c:dPt>
            <c:idx val="16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F4-4E9B-B013-B7B532DC532A}"/>
              </c:ext>
            </c:extLst>
          </c:dPt>
          <c:dPt>
            <c:idx val="17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F4-4E9B-B013-B7B532DC532A}"/>
              </c:ext>
            </c:extLst>
          </c:dPt>
          <c:dPt>
            <c:idx val="21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EF4-4E9B-B013-B7B532DC532A}"/>
              </c:ext>
            </c:extLst>
          </c:dPt>
          <c:dPt>
            <c:idx val="22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F4-4E9B-B013-B7B532DC532A}"/>
              </c:ext>
            </c:extLst>
          </c:dPt>
          <c:dPt>
            <c:idx val="27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EF4-4E9B-B013-B7B532DC532A}"/>
              </c:ext>
            </c:extLst>
          </c:dPt>
          <c:dPt>
            <c:idx val="2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7EF4-4E9B-B013-B7B532DC532A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F4-4E9B-B013-B7B532DC532A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F4-4E9B-B013-B7B532DC532A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EF4-4E9B-B013-B7B532DC532A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EF4-4E9B-B013-B7B532DC532A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EF4-4E9B-B013-B7B532DC53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n12d6!$A$2:$B$31</c:f>
              <c:multiLvlStrCache>
                <c:ptCount val="30"/>
                <c:lvl>
                  <c:pt idx="0">
                    <c:v>t=2</c:v>
                  </c:pt>
                  <c:pt idx="1">
                    <c:v>t=4</c:v>
                  </c:pt>
                  <c:pt idx="2">
                    <c:v>t=8</c:v>
                  </c:pt>
                  <c:pt idx="3">
                    <c:v>t=12</c:v>
                  </c:pt>
                  <c:pt idx="4">
                    <c:v>t=16</c:v>
                  </c:pt>
                  <c:pt idx="5">
                    <c:v>t=20</c:v>
                  </c:pt>
                  <c:pt idx="6">
                    <c:v>t=2</c:v>
                  </c:pt>
                  <c:pt idx="7">
                    <c:v>t=4</c:v>
                  </c:pt>
                  <c:pt idx="8">
                    <c:v>t=8</c:v>
                  </c:pt>
                  <c:pt idx="9">
                    <c:v>t=12</c:v>
                  </c:pt>
                  <c:pt idx="10">
                    <c:v>t=16</c:v>
                  </c:pt>
                  <c:pt idx="11">
                    <c:v>t=20</c:v>
                  </c:pt>
                  <c:pt idx="12">
                    <c:v>t=2</c:v>
                  </c:pt>
                  <c:pt idx="13">
                    <c:v>t=4</c:v>
                  </c:pt>
                  <c:pt idx="14">
                    <c:v>t=8</c:v>
                  </c:pt>
                  <c:pt idx="15">
                    <c:v>t=12</c:v>
                  </c:pt>
                  <c:pt idx="16">
                    <c:v>t=16</c:v>
                  </c:pt>
                  <c:pt idx="17">
                    <c:v>t=20</c:v>
                  </c:pt>
                  <c:pt idx="18">
                    <c:v>t=2</c:v>
                  </c:pt>
                  <c:pt idx="19">
                    <c:v>t=4</c:v>
                  </c:pt>
                  <c:pt idx="20">
                    <c:v>t=8</c:v>
                  </c:pt>
                  <c:pt idx="21">
                    <c:v>t=12</c:v>
                  </c:pt>
                  <c:pt idx="22">
                    <c:v>t=16</c:v>
                  </c:pt>
                  <c:pt idx="23">
                    <c:v>t=20</c:v>
                  </c:pt>
                  <c:pt idx="24">
                    <c:v>t=2</c:v>
                  </c:pt>
                  <c:pt idx="25">
                    <c:v>t=4</c:v>
                  </c:pt>
                  <c:pt idx="26">
                    <c:v>t=8</c:v>
                  </c:pt>
                  <c:pt idx="27">
                    <c:v>t=12</c:v>
                  </c:pt>
                  <c:pt idx="28">
                    <c:v>t=16</c:v>
                  </c:pt>
                  <c:pt idx="29">
                    <c:v>t=20</c:v>
                  </c:pt>
                </c:lvl>
                <c:lvl>
                  <c:pt idx="0">
                    <c:v>OpenMP Sections</c:v>
                  </c:pt>
                  <c:pt idx="6">
                    <c:v>OpenMP Tasks</c:v>
                  </c:pt>
                  <c:pt idx="12">
                    <c:v>Dynamic Tasking</c:v>
                  </c:pt>
                  <c:pt idx="18">
                    <c:v>Explicit Work Queue</c:v>
                  </c:pt>
                  <c:pt idx="24">
                    <c:v>Adaptive</c:v>
                  </c:pt>
                </c:lvl>
              </c:multiLvlStrCache>
            </c:multiLvlStrRef>
          </c:cat>
          <c:val>
            <c:numRef>
              <c:f>n12d6!$C$2:$C$31</c:f>
              <c:numCache>
                <c:formatCode>0.000</c:formatCode>
                <c:ptCount val="30"/>
                <c:pt idx="0">
                  <c:v>1.4196217494089836</c:v>
                </c:pt>
                <c:pt idx="1">
                  <c:v>1.8392036753445635</c:v>
                </c:pt>
                <c:pt idx="2">
                  <c:v>2.2036697247706423</c:v>
                </c:pt>
                <c:pt idx="3">
                  <c:v>2.5020833333333337</c:v>
                </c:pt>
                <c:pt idx="4">
                  <c:v>2.517819706498952</c:v>
                </c:pt>
                <c:pt idx="5">
                  <c:v>2.8258823529411767</c:v>
                </c:pt>
                <c:pt idx="6">
                  <c:v>1.50125</c:v>
                </c:pt>
                <c:pt idx="7">
                  <c:v>2.1916058394160585</c:v>
                </c:pt>
                <c:pt idx="8">
                  <c:v>2.7545871559633031</c:v>
                </c:pt>
                <c:pt idx="9">
                  <c:v>2.7357630979498864</c:v>
                </c:pt>
                <c:pt idx="10">
                  <c:v>2.6280087527352296</c:v>
                </c:pt>
                <c:pt idx="11">
                  <c:v>2.4762886597938145</c:v>
                </c:pt>
                <c:pt idx="12">
                  <c:v>1.5299363057324842</c:v>
                </c:pt>
                <c:pt idx="13">
                  <c:v>1.9656301145662849</c:v>
                </c:pt>
                <c:pt idx="14">
                  <c:v>2.5553191489361704</c:v>
                </c:pt>
                <c:pt idx="15">
                  <c:v>2.8870192307692313</c:v>
                </c:pt>
                <c:pt idx="16">
                  <c:v>2.8870192307692313</c:v>
                </c:pt>
                <c:pt idx="17">
                  <c:v>3.0953608247422681</c:v>
                </c:pt>
                <c:pt idx="18">
                  <c:v>1.455757575757576</c:v>
                </c:pt>
                <c:pt idx="19">
                  <c:v>2.2240740740740739</c:v>
                </c:pt>
                <c:pt idx="20">
                  <c:v>2.7995337995337999</c:v>
                </c:pt>
                <c:pt idx="21">
                  <c:v>2.9221411192214117</c:v>
                </c:pt>
                <c:pt idx="22">
                  <c:v>3.0953608247422681</c:v>
                </c:pt>
                <c:pt idx="23">
                  <c:v>2.9801488833746896</c:v>
                </c:pt>
                <c:pt idx="24">
                  <c:v>1.5678851174934727</c:v>
                </c:pt>
                <c:pt idx="25">
                  <c:v>2.2876190476190477</c:v>
                </c:pt>
                <c:pt idx="26">
                  <c:v>2.9801488833746896</c:v>
                </c:pt>
                <c:pt idx="27">
                  <c:v>3.2547425474254745</c:v>
                </c:pt>
                <c:pt idx="28">
                  <c:v>3.0175879396984926</c:v>
                </c:pt>
                <c:pt idx="29">
                  <c:v>3.202666666666667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82-48BA-A29F-9DBFBB87A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047072"/>
        <c:axId val="1531045632"/>
      </c:barChart>
      <c:catAx>
        <c:axId val="153104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5632"/>
        <c:crosses val="autoZero"/>
        <c:auto val="1"/>
        <c:lblAlgn val="ctr"/>
        <c:lblOffset val="100"/>
        <c:noMultiLvlLbl val="0"/>
      </c:catAx>
      <c:valAx>
        <c:axId val="1531045632"/>
        <c:scaling>
          <c:orientation val="minMax"/>
          <c:max val="9.199999999999999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layout>
            <c:manualLayout>
              <c:xMode val="edge"/>
              <c:yMode val="edge"/>
              <c:x val="7.6481835564053535E-3"/>
              <c:y val="0.356047408796346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n12d8!$C$1</c:f>
              <c:strCache>
                <c:ptCount val="1"/>
                <c:pt idx="0">
                  <c:v>Speedup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D9-4A89-92D5-E0DE8A4D4FDA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1914-4016-86D0-3B0F426B8B77}"/>
              </c:ext>
            </c:extLst>
          </c:dPt>
          <c:dPt>
            <c:idx val="8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8D9-4A89-92D5-E0DE8A4D4FDA}"/>
              </c:ext>
            </c:extLst>
          </c:dPt>
          <c:dPt>
            <c:idx val="9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8D9-4A89-92D5-E0DE8A4D4FDA}"/>
              </c:ext>
            </c:extLst>
          </c:dPt>
          <c:dPt>
            <c:idx val="15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8D9-4A89-92D5-E0DE8A4D4FDA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88D9-4A89-92D5-E0DE8A4D4FDA}"/>
              </c:ext>
            </c:extLst>
          </c:dPt>
          <c:dPt>
            <c:idx val="21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8D9-4A89-92D5-E0DE8A4D4FDA}"/>
              </c:ext>
            </c:extLst>
          </c:dPt>
          <c:dPt>
            <c:idx val="27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8D9-4A89-92D5-E0DE8A4D4FDA}"/>
              </c:ext>
            </c:extLst>
          </c:dPt>
          <c:dPt>
            <c:idx val="2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88D9-4A89-92D5-E0DE8A4D4FDA}"/>
              </c:ext>
            </c:extLst>
          </c:dPt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D9-4A89-92D5-E0DE8A4D4FDA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D9-4A89-92D5-E0DE8A4D4FDA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8D9-4A89-92D5-E0DE8A4D4FDA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8D9-4A89-92D5-E0DE8A4D4FDA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8D9-4A89-92D5-E0DE8A4D4F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n12d8!$A$2:$B$31</c:f>
              <c:multiLvlStrCache>
                <c:ptCount val="30"/>
                <c:lvl>
                  <c:pt idx="0">
                    <c:v>t=2</c:v>
                  </c:pt>
                  <c:pt idx="1">
                    <c:v>t=4</c:v>
                  </c:pt>
                  <c:pt idx="2">
                    <c:v>t=8</c:v>
                  </c:pt>
                  <c:pt idx="3">
                    <c:v>t=12</c:v>
                  </c:pt>
                  <c:pt idx="4">
                    <c:v>t=16</c:v>
                  </c:pt>
                  <c:pt idx="5">
                    <c:v>t=20</c:v>
                  </c:pt>
                  <c:pt idx="6">
                    <c:v>t=2</c:v>
                  </c:pt>
                  <c:pt idx="7">
                    <c:v>t=4</c:v>
                  </c:pt>
                  <c:pt idx="8">
                    <c:v>t=8</c:v>
                  </c:pt>
                  <c:pt idx="9">
                    <c:v>t=12</c:v>
                  </c:pt>
                  <c:pt idx="10">
                    <c:v>t=16</c:v>
                  </c:pt>
                  <c:pt idx="11">
                    <c:v>t=20</c:v>
                  </c:pt>
                  <c:pt idx="12">
                    <c:v>t=2</c:v>
                  </c:pt>
                  <c:pt idx="13">
                    <c:v>t=4</c:v>
                  </c:pt>
                  <c:pt idx="14">
                    <c:v>t=8</c:v>
                  </c:pt>
                  <c:pt idx="15">
                    <c:v>t=12</c:v>
                  </c:pt>
                  <c:pt idx="16">
                    <c:v>t=16</c:v>
                  </c:pt>
                  <c:pt idx="17">
                    <c:v>t=20</c:v>
                  </c:pt>
                  <c:pt idx="18">
                    <c:v>t=2</c:v>
                  </c:pt>
                  <c:pt idx="19">
                    <c:v>t=4</c:v>
                  </c:pt>
                  <c:pt idx="20">
                    <c:v>t=8</c:v>
                  </c:pt>
                  <c:pt idx="21">
                    <c:v>t=12</c:v>
                  </c:pt>
                  <c:pt idx="22">
                    <c:v>t=16</c:v>
                  </c:pt>
                  <c:pt idx="23">
                    <c:v>t=20</c:v>
                  </c:pt>
                  <c:pt idx="24">
                    <c:v>t=2</c:v>
                  </c:pt>
                  <c:pt idx="25">
                    <c:v>t=4</c:v>
                  </c:pt>
                  <c:pt idx="26">
                    <c:v>t=8</c:v>
                  </c:pt>
                  <c:pt idx="27">
                    <c:v>t=12</c:v>
                  </c:pt>
                  <c:pt idx="28">
                    <c:v>t=16</c:v>
                  </c:pt>
                  <c:pt idx="29">
                    <c:v>t=20</c:v>
                  </c:pt>
                </c:lvl>
                <c:lvl>
                  <c:pt idx="0">
                    <c:v>OpenMP Sections</c:v>
                  </c:pt>
                  <c:pt idx="6">
                    <c:v>OpenMP Tasks</c:v>
                  </c:pt>
                  <c:pt idx="12">
                    <c:v>Dynamic Tasking</c:v>
                  </c:pt>
                  <c:pt idx="18">
                    <c:v>Explicit Work Queue</c:v>
                  </c:pt>
                  <c:pt idx="24">
                    <c:v>Adaptive</c:v>
                  </c:pt>
                </c:lvl>
              </c:multiLvlStrCache>
            </c:multiLvlStrRef>
          </c:cat>
          <c:val>
            <c:numRef>
              <c:f>n12d8!$C$2:$C$31</c:f>
              <c:numCache>
                <c:formatCode>0.000</c:formatCode>
                <c:ptCount val="30"/>
                <c:pt idx="0">
                  <c:v>1.140495867768595</c:v>
                </c:pt>
                <c:pt idx="1">
                  <c:v>1.7097345132743365</c:v>
                </c:pt>
                <c:pt idx="2">
                  <c:v>2.4580152671755724</c:v>
                </c:pt>
                <c:pt idx="3">
                  <c:v>2.8835820895522386</c:v>
                </c:pt>
                <c:pt idx="4">
                  <c:v>3.0377358490566038</c:v>
                </c:pt>
                <c:pt idx="5">
                  <c:v>2.7959479015918958</c:v>
                </c:pt>
                <c:pt idx="6">
                  <c:v>1.2957746478873238</c:v>
                </c:pt>
                <c:pt idx="7">
                  <c:v>2.037974683544304</c:v>
                </c:pt>
                <c:pt idx="8">
                  <c:v>2.949618320610687</c:v>
                </c:pt>
                <c:pt idx="9">
                  <c:v>3.1061093247588425</c:v>
                </c:pt>
                <c:pt idx="10">
                  <c:v>3.0140405616224646</c:v>
                </c:pt>
                <c:pt idx="11">
                  <c:v>2.8000000000000003</c:v>
                </c:pt>
                <c:pt idx="12">
                  <c:v>1.3269230769230769</c:v>
                </c:pt>
                <c:pt idx="13">
                  <c:v>2.0125000000000002</c:v>
                </c:pt>
                <c:pt idx="14">
                  <c:v>2.7959479015918958</c:v>
                </c:pt>
                <c:pt idx="15">
                  <c:v>3.0377358490566038</c:v>
                </c:pt>
                <c:pt idx="16">
                  <c:v>2.9631901840490795</c:v>
                </c:pt>
                <c:pt idx="17">
                  <c:v>2.7679083094555876</c:v>
                </c:pt>
                <c:pt idx="18">
                  <c:v>1.3510489510489512</c:v>
                </c:pt>
                <c:pt idx="19">
                  <c:v>2.4271356783919598</c:v>
                </c:pt>
                <c:pt idx="20">
                  <c:v>3.0425196850393701</c:v>
                </c:pt>
                <c:pt idx="21">
                  <c:v>3.22</c:v>
                </c:pt>
                <c:pt idx="22">
                  <c:v>3.0764331210191083</c:v>
                </c:pt>
                <c:pt idx="23">
                  <c:v>2.9272727272727272</c:v>
                </c:pt>
                <c:pt idx="24">
                  <c:v>1.4020319303338171</c:v>
                </c:pt>
                <c:pt idx="25">
                  <c:v>2.5090909090909088</c:v>
                </c:pt>
                <c:pt idx="26">
                  <c:v>3.5063520871143372</c:v>
                </c:pt>
                <c:pt idx="27">
                  <c:v>3.5777777777777775</c:v>
                </c:pt>
                <c:pt idx="28">
                  <c:v>3.3894736842105266</c:v>
                </c:pt>
                <c:pt idx="29">
                  <c:v>3.1986754966887418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914-4016-86D0-3B0F426B8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047072"/>
        <c:axId val="1531045632"/>
      </c:barChart>
      <c:catAx>
        <c:axId val="153104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5632"/>
        <c:crosses val="autoZero"/>
        <c:auto val="1"/>
        <c:lblAlgn val="ctr"/>
        <c:lblOffset val="100"/>
        <c:noMultiLvlLbl val="0"/>
      </c:catAx>
      <c:valAx>
        <c:axId val="1531045632"/>
        <c:scaling>
          <c:orientation val="minMax"/>
          <c:max val="9.199999999999999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layout>
            <c:manualLayout>
              <c:xMode val="edge"/>
              <c:yMode val="edge"/>
              <c:x val="7.6481835564053535E-3"/>
              <c:y val="0.356047408796346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n16d4!$C$1</c:f>
              <c:strCache>
                <c:ptCount val="1"/>
                <c:pt idx="0">
                  <c:v>Speedup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D9-4BA0-A82D-E93A1F6BDDF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D9-4BA0-A82D-E93A1F6BDDFF}"/>
              </c:ext>
            </c:extLst>
          </c:dPt>
          <c:dPt>
            <c:idx val="10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3D9-4BA0-A82D-E93A1F6BDDFF}"/>
              </c:ext>
            </c:extLst>
          </c:dPt>
          <c:dPt>
            <c:idx val="16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D9-4BA0-A82D-E93A1F6BDDFF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63D9-4BA0-A82D-E93A1F6BDDFF}"/>
              </c:ext>
            </c:extLst>
          </c:dPt>
          <c:dPt>
            <c:idx val="22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3D9-4BA0-A82D-E93A1F6BDDFF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3D9-4BA0-A82D-E93A1F6BDDFF}"/>
              </c:ext>
            </c:extLst>
          </c:dPt>
          <c:dPt>
            <c:idx val="29"/>
            <c:invertIfNegative val="0"/>
            <c:bubble3D val="0"/>
            <c:spPr>
              <a:pattFill prst="wdDn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3D9-4BA0-A82D-E93A1F6BDDFF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D9-4BA0-A82D-E93A1F6BDDFF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3D9-4BA0-A82D-E93A1F6BDDFF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D9-4BA0-A82D-E93A1F6BDDFF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3D9-4BA0-A82D-E93A1F6BDDFF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3D9-4BA0-A82D-E93A1F6BDD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n16d4!$A$2:$B$31</c:f>
              <c:multiLvlStrCache>
                <c:ptCount val="30"/>
                <c:lvl>
                  <c:pt idx="0">
                    <c:v>t=2</c:v>
                  </c:pt>
                  <c:pt idx="1">
                    <c:v>t=4</c:v>
                  </c:pt>
                  <c:pt idx="2">
                    <c:v>t=8</c:v>
                  </c:pt>
                  <c:pt idx="3">
                    <c:v>t=12</c:v>
                  </c:pt>
                  <c:pt idx="4">
                    <c:v>t=16</c:v>
                  </c:pt>
                  <c:pt idx="5">
                    <c:v>t=20</c:v>
                  </c:pt>
                  <c:pt idx="6">
                    <c:v>t=2</c:v>
                  </c:pt>
                  <c:pt idx="7">
                    <c:v>t=4</c:v>
                  </c:pt>
                  <c:pt idx="8">
                    <c:v>t=8</c:v>
                  </c:pt>
                  <c:pt idx="9">
                    <c:v>t=12</c:v>
                  </c:pt>
                  <c:pt idx="10">
                    <c:v>t=16</c:v>
                  </c:pt>
                  <c:pt idx="11">
                    <c:v>t=20</c:v>
                  </c:pt>
                  <c:pt idx="12">
                    <c:v>t=2</c:v>
                  </c:pt>
                  <c:pt idx="13">
                    <c:v>t=4</c:v>
                  </c:pt>
                  <c:pt idx="14">
                    <c:v>t=8</c:v>
                  </c:pt>
                  <c:pt idx="15">
                    <c:v>t=12</c:v>
                  </c:pt>
                  <c:pt idx="16">
                    <c:v>t=16</c:v>
                  </c:pt>
                  <c:pt idx="17">
                    <c:v>t=20</c:v>
                  </c:pt>
                  <c:pt idx="18">
                    <c:v>t=2</c:v>
                  </c:pt>
                  <c:pt idx="19">
                    <c:v>t=4</c:v>
                  </c:pt>
                  <c:pt idx="20">
                    <c:v>t=8</c:v>
                  </c:pt>
                  <c:pt idx="21">
                    <c:v>t=12</c:v>
                  </c:pt>
                  <c:pt idx="22">
                    <c:v>t=16</c:v>
                  </c:pt>
                  <c:pt idx="23">
                    <c:v>t=20</c:v>
                  </c:pt>
                  <c:pt idx="24">
                    <c:v>t=2</c:v>
                  </c:pt>
                  <c:pt idx="25">
                    <c:v>t=4</c:v>
                  </c:pt>
                  <c:pt idx="26">
                    <c:v>t=8</c:v>
                  </c:pt>
                  <c:pt idx="27">
                    <c:v>t=12</c:v>
                  </c:pt>
                  <c:pt idx="28">
                    <c:v>t=16</c:v>
                  </c:pt>
                  <c:pt idx="29">
                    <c:v>t=20</c:v>
                  </c:pt>
                </c:lvl>
                <c:lvl>
                  <c:pt idx="0">
                    <c:v>OpenMP Sections</c:v>
                  </c:pt>
                  <c:pt idx="6">
                    <c:v>OpenMP Tasks</c:v>
                  </c:pt>
                  <c:pt idx="12">
                    <c:v>Dynamic Tasking</c:v>
                  </c:pt>
                  <c:pt idx="18">
                    <c:v>Explicit Work Queue</c:v>
                  </c:pt>
                  <c:pt idx="24">
                    <c:v>Adaptive</c:v>
                  </c:pt>
                </c:lvl>
              </c:multiLvlStrCache>
            </c:multiLvlStrRef>
          </c:cat>
          <c:val>
            <c:numRef>
              <c:f>n16d4!$C$2:$C$31</c:f>
              <c:numCache>
                <c:formatCode>0.000</c:formatCode>
                <c:ptCount val="30"/>
                <c:pt idx="0">
                  <c:v>1.0508343034536283</c:v>
                </c:pt>
                <c:pt idx="1">
                  <c:v>1.8836076976582428</c:v>
                </c:pt>
                <c:pt idx="2">
                  <c:v>2.8972895863052783</c:v>
                </c:pt>
                <c:pt idx="3">
                  <c:v>4.3143919277748273</c:v>
                </c:pt>
                <c:pt idx="4">
                  <c:v>4.8939759036144581</c:v>
                </c:pt>
                <c:pt idx="5">
                  <c:v>4.9901719901719908</c:v>
                </c:pt>
                <c:pt idx="6">
                  <c:v>1.2607076350093112</c:v>
                </c:pt>
                <c:pt idx="7">
                  <c:v>2.0074128984432917</c:v>
                </c:pt>
                <c:pt idx="8">
                  <c:v>3.5460497599301619</c:v>
                </c:pt>
                <c:pt idx="9">
                  <c:v>4.6797235023041477</c:v>
                </c:pt>
                <c:pt idx="10">
                  <c:v>5.2043561819346582</c:v>
                </c:pt>
                <c:pt idx="11">
                  <c:v>4.870503597122303</c:v>
                </c:pt>
                <c:pt idx="12">
                  <c:v>1.3472636815920398</c:v>
                </c:pt>
                <c:pt idx="13">
                  <c:v>2.3726635514018692</c:v>
                </c:pt>
                <c:pt idx="14">
                  <c:v>4.017804154302671</c:v>
                </c:pt>
                <c:pt idx="15">
                  <c:v>4.9296116504854375</c:v>
                </c:pt>
                <c:pt idx="16">
                  <c:v>5.1223203026481716</c:v>
                </c:pt>
                <c:pt idx="17">
                  <c:v>5.0679975046787282</c:v>
                </c:pt>
                <c:pt idx="18">
                  <c:v>1.3674465578185493</c:v>
                </c:pt>
                <c:pt idx="19">
                  <c:v>2.7170568561872908</c:v>
                </c:pt>
                <c:pt idx="20">
                  <c:v>4.7013888888888893</c:v>
                </c:pt>
                <c:pt idx="21">
                  <c:v>5.5190217391304355</c:v>
                </c:pt>
                <c:pt idx="22">
                  <c:v>5.6495132127955499</c:v>
                </c:pt>
                <c:pt idx="23">
                  <c:v>5.6260387811634356</c:v>
                </c:pt>
                <c:pt idx="24">
                  <c:v>1.4814004376367615</c:v>
                </c:pt>
                <c:pt idx="25">
                  <c:v>2.900392716886826</c:v>
                </c:pt>
                <c:pt idx="26">
                  <c:v>4.7205113306217319</c:v>
                </c:pt>
                <c:pt idx="27">
                  <c:v>5.5911906400550588</c:v>
                </c:pt>
                <c:pt idx="28">
                  <c:v>5.7130801687763721</c:v>
                </c:pt>
                <c:pt idx="29">
                  <c:v>5.7987152034261245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37B-4234-A8C2-D24057329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047072"/>
        <c:axId val="1531045632"/>
      </c:barChart>
      <c:catAx>
        <c:axId val="153104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5632"/>
        <c:crosses val="autoZero"/>
        <c:auto val="1"/>
        <c:lblAlgn val="ctr"/>
        <c:lblOffset val="100"/>
        <c:noMultiLvlLbl val="0"/>
      </c:catAx>
      <c:valAx>
        <c:axId val="1531045632"/>
        <c:scaling>
          <c:orientation val="minMax"/>
          <c:max val="9.199999999999999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layout>
            <c:manualLayout>
              <c:xMode val="edge"/>
              <c:yMode val="edge"/>
              <c:x val="7.6481835564053535E-3"/>
              <c:y val="0.356047408796346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n16d6!$C$1</c:f>
              <c:strCache>
                <c:ptCount val="1"/>
                <c:pt idx="0">
                  <c:v>Speedup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56-4C54-AA3C-F9947EDD331F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2656-4C54-AA3C-F9947EDD331F}"/>
              </c:ext>
            </c:extLst>
          </c:dPt>
          <c:dPt>
            <c:idx val="9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656-4C54-AA3C-F9947EDD331F}"/>
              </c:ext>
            </c:extLst>
          </c:dPt>
          <c:dPt>
            <c:idx val="16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656-4C54-AA3C-F9947EDD331F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656-4C54-AA3C-F9947EDD331F}"/>
              </c:ext>
            </c:extLst>
          </c:dPt>
          <c:dPt>
            <c:idx val="22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56-4C54-AA3C-F9947EDD331F}"/>
              </c:ext>
            </c:extLst>
          </c:dPt>
          <c:dPt>
            <c:idx val="28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656-4C54-AA3C-F9947EDD331F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56-4C54-AA3C-F9947EDD331F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56-4C54-AA3C-F9947EDD331F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656-4C54-AA3C-F9947EDD331F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656-4C54-AA3C-F9947EDD331F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656-4C54-AA3C-F9947EDD33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n16d6!$A$2:$B$31</c:f>
              <c:multiLvlStrCache>
                <c:ptCount val="30"/>
                <c:lvl>
                  <c:pt idx="0">
                    <c:v>t=2</c:v>
                  </c:pt>
                  <c:pt idx="1">
                    <c:v>t=4</c:v>
                  </c:pt>
                  <c:pt idx="2">
                    <c:v>t=8</c:v>
                  </c:pt>
                  <c:pt idx="3">
                    <c:v>t=12</c:v>
                  </c:pt>
                  <c:pt idx="4">
                    <c:v>t=16</c:v>
                  </c:pt>
                  <c:pt idx="5">
                    <c:v>t=20</c:v>
                  </c:pt>
                  <c:pt idx="6">
                    <c:v>t=2</c:v>
                  </c:pt>
                  <c:pt idx="7">
                    <c:v>t=4</c:v>
                  </c:pt>
                  <c:pt idx="8">
                    <c:v>t=8</c:v>
                  </c:pt>
                  <c:pt idx="9">
                    <c:v>t=12</c:v>
                  </c:pt>
                  <c:pt idx="10">
                    <c:v>t=16</c:v>
                  </c:pt>
                  <c:pt idx="11">
                    <c:v>t=20</c:v>
                  </c:pt>
                  <c:pt idx="12">
                    <c:v>t=2</c:v>
                  </c:pt>
                  <c:pt idx="13">
                    <c:v>t=4</c:v>
                  </c:pt>
                  <c:pt idx="14">
                    <c:v>t=8</c:v>
                  </c:pt>
                  <c:pt idx="15">
                    <c:v>t=12</c:v>
                  </c:pt>
                  <c:pt idx="16">
                    <c:v>t=16</c:v>
                  </c:pt>
                  <c:pt idx="17">
                    <c:v>t=20</c:v>
                  </c:pt>
                  <c:pt idx="18">
                    <c:v>t=2</c:v>
                  </c:pt>
                  <c:pt idx="19">
                    <c:v>t=4</c:v>
                  </c:pt>
                  <c:pt idx="20">
                    <c:v>t=8</c:v>
                  </c:pt>
                  <c:pt idx="21">
                    <c:v>t=12</c:v>
                  </c:pt>
                  <c:pt idx="22">
                    <c:v>t=16</c:v>
                  </c:pt>
                  <c:pt idx="23">
                    <c:v>t=20</c:v>
                  </c:pt>
                  <c:pt idx="24">
                    <c:v>t=2</c:v>
                  </c:pt>
                  <c:pt idx="25">
                    <c:v>t=4</c:v>
                  </c:pt>
                  <c:pt idx="26">
                    <c:v>t=8</c:v>
                  </c:pt>
                  <c:pt idx="27">
                    <c:v>t=12</c:v>
                  </c:pt>
                  <c:pt idx="28">
                    <c:v>t=16</c:v>
                  </c:pt>
                  <c:pt idx="29">
                    <c:v>t=20</c:v>
                  </c:pt>
                </c:lvl>
                <c:lvl>
                  <c:pt idx="0">
                    <c:v>OpenMP Sections</c:v>
                  </c:pt>
                  <c:pt idx="6">
                    <c:v>OpenMP Tasks</c:v>
                  </c:pt>
                  <c:pt idx="12">
                    <c:v>Dynamic Tasking</c:v>
                  </c:pt>
                  <c:pt idx="18">
                    <c:v>Explicit Work Queue</c:v>
                  </c:pt>
                  <c:pt idx="24">
                    <c:v>Adaptive</c:v>
                  </c:pt>
                </c:lvl>
              </c:multiLvlStrCache>
            </c:multiLvlStrRef>
          </c:cat>
          <c:val>
            <c:numRef>
              <c:f>n16d6!$C$2:$C$31</c:f>
              <c:numCache>
                <c:formatCode>0.000</c:formatCode>
                <c:ptCount val="30"/>
                <c:pt idx="0">
                  <c:v>1.1737067469042934</c:v>
                </c:pt>
                <c:pt idx="1">
                  <c:v>2.0131004366812224</c:v>
                </c:pt>
                <c:pt idx="2">
                  <c:v>3.4525957446808508</c:v>
                </c:pt>
                <c:pt idx="3">
                  <c:v>4.5932971014492745</c:v>
                </c:pt>
                <c:pt idx="4">
                  <c:v>4.6737327188940094</c:v>
                </c:pt>
                <c:pt idx="5">
                  <c:v>4.7293075308929824</c:v>
                </c:pt>
                <c:pt idx="6">
                  <c:v>1.5359684991670453</c:v>
                </c:pt>
                <c:pt idx="7">
                  <c:v>2.6647398843930632</c:v>
                </c:pt>
                <c:pt idx="8">
                  <c:v>3.5673584241997887</c:v>
                </c:pt>
                <c:pt idx="9">
                  <c:v>5.2170781893004117</c:v>
                </c:pt>
                <c:pt idx="10">
                  <c:v>5.1784528976257338</c:v>
                </c:pt>
                <c:pt idx="11">
                  <c:v>5.0570929942657683</c:v>
                </c:pt>
                <c:pt idx="12">
                  <c:v>1.5223656559591714</c:v>
                </c:pt>
                <c:pt idx="13">
                  <c:v>2.8633540372670807</c:v>
                </c:pt>
                <c:pt idx="14">
                  <c:v>4.1548545678000819</c:v>
                </c:pt>
                <c:pt idx="15">
                  <c:v>5.5542168674698793</c:v>
                </c:pt>
                <c:pt idx="16">
                  <c:v>5.55573815393043</c:v>
                </c:pt>
                <c:pt idx="17">
                  <c:v>5.5330060010911071</c:v>
                </c:pt>
                <c:pt idx="18">
                  <c:v>1.5190593874035796</c:v>
                </c:pt>
                <c:pt idx="19">
                  <c:v>2.9051847608135204</c:v>
                </c:pt>
                <c:pt idx="20">
                  <c:v>4.9923701698252527</c:v>
                </c:pt>
                <c:pt idx="21">
                  <c:v>5.4644396551724128</c:v>
                </c:pt>
                <c:pt idx="22">
                  <c:v>5.5149537792278407</c:v>
                </c:pt>
                <c:pt idx="23">
                  <c:v>5.4629679504443844</c:v>
                </c:pt>
                <c:pt idx="24">
                  <c:v>1.6532724753443637</c:v>
                </c:pt>
                <c:pt idx="25">
                  <c:v>3.0566606389391198</c:v>
                </c:pt>
                <c:pt idx="26">
                  <c:v>5.2877997914494266</c:v>
                </c:pt>
                <c:pt idx="27">
                  <c:v>5.5694673256452498</c:v>
                </c:pt>
                <c:pt idx="28">
                  <c:v>5.7105855855855854</c:v>
                </c:pt>
                <c:pt idx="29">
                  <c:v>5.6913580246913575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7A2-42E7-990D-669489E3F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047072"/>
        <c:axId val="1531045632"/>
      </c:barChart>
      <c:catAx>
        <c:axId val="153104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5632"/>
        <c:crosses val="autoZero"/>
        <c:auto val="1"/>
        <c:lblAlgn val="ctr"/>
        <c:lblOffset val="100"/>
        <c:noMultiLvlLbl val="0"/>
      </c:catAx>
      <c:valAx>
        <c:axId val="1531045632"/>
        <c:scaling>
          <c:orientation val="minMax"/>
          <c:max val="9.199999999999999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layout>
            <c:manualLayout>
              <c:xMode val="edge"/>
              <c:yMode val="edge"/>
              <c:x val="7.6481835564053535E-3"/>
              <c:y val="0.356047408796346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n16d8!$C$1</c:f>
              <c:strCache>
                <c:ptCount val="1"/>
                <c:pt idx="0">
                  <c:v>Speedup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D7-4579-8099-41A5CDEC3E10}"/>
              </c:ext>
            </c:extLst>
          </c:dPt>
          <c:dPt>
            <c:idx val="8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D7-4579-8099-41A5CDEC3E10}"/>
              </c:ext>
            </c:extLst>
          </c:dPt>
          <c:dPt>
            <c:idx val="9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D7-4579-8099-41A5CDEC3E10}"/>
              </c:ext>
            </c:extLst>
          </c:dPt>
          <c:dPt>
            <c:idx val="16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5D7-4579-8099-41A5CDEC3E10}"/>
              </c:ext>
            </c:extLst>
          </c:dPt>
          <c:dPt>
            <c:idx val="17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5D7-4579-8099-41A5CDEC3E10}"/>
              </c:ext>
            </c:extLst>
          </c:dPt>
          <c:dPt>
            <c:idx val="21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5D7-4579-8099-41A5CDEC3E10}"/>
              </c:ext>
            </c:extLst>
          </c:dPt>
          <c:dPt>
            <c:idx val="22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5D7-4579-8099-41A5CDEC3E10}"/>
              </c:ext>
            </c:extLst>
          </c:dPt>
          <c:dPt>
            <c:idx val="28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5D7-4579-8099-41A5CDEC3E10}"/>
              </c:ext>
            </c:extLst>
          </c:dPt>
          <c:dPt>
            <c:idx val="29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5D7-4579-8099-41A5CDEC3E10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D7-4579-8099-41A5CDEC3E10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5D7-4579-8099-41A5CDEC3E10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5D7-4579-8099-41A5CDEC3E10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5D7-4579-8099-41A5CDEC3E10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5D7-4579-8099-41A5CDEC3E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n16d8!$A$2:$B$31</c:f>
              <c:multiLvlStrCache>
                <c:ptCount val="30"/>
                <c:lvl>
                  <c:pt idx="0">
                    <c:v>t=2</c:v>
                  </c:pt>
                  <c:pt idx="1">
                    <c:v>t=4</c:v>
                  </c:pt>
                  <c:pt idx="2">
                    <c:v>t=8</c:v>
                  </c:pt>
                  <c:pt idx="3">
                    <c:v>t=12</c:v>
                  </c:pt>
                  <c:pt idx="4">
                    <c:v>t=16</c:v>
                  </c:pt>
                  <c:pt idx="5">
                    <c:v>t=20</c:v>
                  </c:pt>
                  <c:pt idx="6">
                    <c:v>t=2</c:v>
                  </c:pt>
                  <c:pt idx="7">
                    <c:v>t=4</c:v>
                  </c:pt>
                  <c:pt idx="8">
                    <c:v>t=8</c:v>
                  </c:pt>
                  <c:pt idx="9">
                    <c:v>t=12</c:v>
                  </c:pt>
                  <c:pt idx="10">
                    <c:v>t=16</c:v>
                  </c:pt>
                  <c:pt idx="11">
                    <c:v>t=20</c:v>
                  </c:pt>
                  <c:pt idx="12">
                    <c:v>t=2</c:v>
                  </c:pt>
                  <c:pt idx="13">
                    <c:v>t=4</c:v>
                  </c:pt>
                  <c:pt idx="14">
                    <c:v>t=8</c:v>
                  </c:pt>
                  <c:pt idx="15">
                    <c:v>t=12</c:v>
                  </c:pt>
                  <c:pt idx="16">
                    <c:v>t=16</c:v>
                  </c:pt>
                  <c:pt idx="17">
                    <c:v>t=20</c:v>
                  </c:pt>
                  <c:pt idx="18">
                    <c:v>t=2</c:v>
                  </c:pt>
                  <c:pt idx="19">
                    <c:v>t=4</c:v>
                  </c:pt>
                  <c:pt idx="20">
                    <c:v>t=8</c:v>
                  </c:pt>
                  <c:pt idx="21">
                    <c:v>t=12</c:v>
                  </c:pt>
                  <c:pt idx="22">
                    <c:v>t=16</c:v>
                  </c:pt>
                  <c:pt idx="23">
                    <c:v>t=20</c:v>
                  </c:pt>
                  <c:pt idx="24">
                    <c:v>t=2</c:v>
                  </c:pt>
                  <c:pt idx="25">
                    <c:v>t=4</c:v>
                  </c:pt>
                  <c:pt idx="26">
                    <c:v>t=8</c:v>
                  </c:pt>
                  <c:pt idx="27">
                    <c:v>t=12</c:v>
                  </c:pt>
                  <c:pt idx="28">
                    <c:v>t=16</c:v>
                  </c:pt>
                  <c:pt idx="29">
                    <c:v>t=20</c:v>
                  </c:pt>
                </c:lvl>
                <c:lvl>
                  <c:pt idx="0">
                    <c:v>OpenMP Sections</c:v>
                  </c:pt>
                  <c:pt idx="6">
                    <c:v>OpenMP Tasks</c:v>
                  </c:pt>
                  <c:pt idx="12">
                    <c:v>Dynamic Tasking</c:v>
                  </c:pt>
                  <c:pt idx="18">
                    <c:v>Explicit Work Queue</c:v>
                  </c:pt>
                  <c:pt idx="24">
                    <c:v>Adaptive</c:v>
                  </c:pt>
                </c:lvl>
              </c:multiLvlStrCache>
            </c:multiLvlStrRef>
          </c:cat>
          <c:val>
            <c:numRef>
              <c:f>n16d8!$C$2:$C$31</c:f>
              <c:numCache>
                <c:formatCode>0.000</c:formatCode>
                <c:ptCount val="30"/>
                <c:pt idx="0">
                  <c:v>1.4820326033847111</c:v>
                </c:pt>
                <c:pt idx="1">
                  <c:v>2.4549334118166435</c:v>
                </c:pt>
                <c:pt idx="2">
                  <c:v>3.6004100571921875</c:v>
                </c:pt>
                <c:pt idx="3">
                  <c:v>4.9080611944689618</c:v>
                </c:pt>
                <c:pt idx="4">
                  <c:v>4.8474502397210522</c:v>
                </c:pt>
                <c:pt idx="5">
                  <c:v>4.9429629629629632</c:v>
                </c:pt>
                <c:pt idx="6">
                  <c:v>1.8614706538719037</c:v>
                </c:pt>
                <c:pt idx="7">
                  <c:v>3.4297902960526319</c:v>
                </c:pt>
                <c:pt idx="8">
                  <c:v>3.7212803925942453</c:v>
                </c:pt>
                <c:pt idx="9">
                  <c:v>5.7112290311537155</c:v>
                </c:pt>
                <c:pt idx="10">
                  <c:v>5.6675726176320715</c:v>
                </c:pt>
                <c:pt idx="11">
                  <c:v>5.6995216945678173</c:v>
                </c:pt>
                <c:pt idx="12">
                  <c:v>1.8824757391108102</c:v>
                </c:pt>
                <c:pt idx="13">
                  <c:v>3.4639742524916945</c:v>
                </c:pt>
                <c:pt idx="14">
                  <c:v>5.6075630252100845</c:v>
                </c:pt>
                <c:pt idx="15">
                  <c:v>5.8483786152497812</c:v>
                </c:pt>
                <c:pt idx="16">
                  <c:v>5.9580357142857148</c:v>
                </c:pt>
                <c:pt idx="17">
                  <c:v>5.9965851905104248</c:v>
                </c:pt>
                <c:pt idx="18">
                  <c:v>1.7415701012631799</c:v>
                </c:pt>
                <c:pt idx="19">
                  <c:v>3.3702020202020204</c:v>
                </c:pt>
                <c:pt idx="20">
                  <c:v>5.5747702589807853</c:v>
                </c:pt>
                <c:pt idx="21">
                  <c:v>5.7278969957081545</c:v>
                </c:pt>
                <c:pt idx="22">
                  <c:v>5.8432574430823125</c:v>
                </c:pt>
                <c:pt idx="23">
                  <c:v>5.8096813512101688</c:v>
                </c:pt>
                <c:pt idx="24">
                  <c:v>1.8426575357596511</c:v>
                </c:pt>
                <c:pt idx="25">
                  <c:v>3.4621770260454499</c:v>
                </c:pt>
                <c:pt idx="26">
                  <c:v>5.7925347222222232</c:v>
                </c:pt>
                <c:pt idx="27">
                  <c:v>5.8948763250883394</c:v>
                </c:pt>
                <c:pt idx="28">
                  <c:v>5.9847533632287</c:v>
                </c:pt>
                <c:pt idx="29">
                  <c:v>6.0019787731606407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E5-4A0D-BC59-463CF1408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047072"/>
        <c:axId val="1531045632"/>
      </c:barChart>
      <c:catAx>
        <c:axId val="153104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5632"/>
        <c:crosses val="autoZero"/>
        <c:auto val="1"/>
        <c:lblAlgn val="ctr"/>
        <c:lblOffset val="100"/>
        <c:noMultiLvlLbl val="0"/>
      </c:catAx>
      <c:valAx>
        <c:axId val="1531045632"/>
        <c:scaling>
          <c:orientation val="minMax"/>
          <c:max val="9.199999999999999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layout>
            <c:manualLayout>
              <c:xMode val="edge"/>
              <c:yMode val="edge"/>
              <c:x val="7.6481835564053535E-3"/>
              <c:y val="0.356047408796346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n20d4!$C$1</c:f>
              <c:strCache>
                <c:ptCount val="1"/>
                <c:pt idx="0">
                  <c:v>Speedup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FF-4C28-802D-6ED300A958B1}"/>
              </c:ext>
            </c:extLst>
          </c:dPt>
          <c:dPt>
            <c:idx val="8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5FF-4C28-802D-6ED300A958B1}"/>
              </c:ext>
            </c:extLst>
          </c:dPt>
          <c:dPt>
            <c:idx val="11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FF-4C28-802D-6ED300A958B1}"/>
              </c:ext>
            </c:extLst>
          </c:dPt>
          <c:dPt>
            <c:idx val="16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FF-4C28-802D-6ED300A958B1}"/>
              </c:ext>
            </c:extLst>
          </c:dPt>
          <c:dPt>
            <c:idx val="17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5FF-4C28-802D-6ED300A958B1}"/>
              </c:ext>
            </c:extLst>
          </c:dPt>
          <c:dPt>
            <c:idx val="21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5FF-4C28-802D-6ED300A958B1}"/>
              </c:ext>
            </c:extLst>
          </c:dPt>
          <c:dPt>
            <c:idx val="22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5FF-4C28-802D-6ED300A958B1}"/>
              </c:ext>
            </c:extLst>
          </c:dPt>
          <c:dPt>
            <c:idx val="28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5FF-4C28-802D-6ED300A958B1}"/>
              </c:ext>
            </c:extLst>
          </c:dPt>
          <c:dPt>
            <c:idx val="29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5FF-4C28-802D-6ED300A958B1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FF-4C28-802D-6ED300A958B1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FF-4C28-802D-6ED300A958B1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5FF-4C28-802D-6ED300A958B1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5FF-4C28-802D-6ED300A958B1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5FF-4C28-802D-6ED300A958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n20d4!$A$2:$B$31</c:f>
              <c:multiLvlStrCache>
                <c:ptCount val="30"/>
                <c:lvl>
                  <c:pt idx="0">
                    <c:v>t=2</c:v>
                  </c:pt>
                  <c:pt idx="1">
                    <c:v>t=4</c:v>
                  </c:pt>
                  <c:pt idx="2">
                    <c:v>t=8</c:v>
                  </c:pt>
                  <c:pt idx="3">
                    <c:v>t=12</c:v>
                  </c:pt>
                  <c:pt idx="4">
                    <c:v>t=16</c:v>
                  </c:pt>
                  <c:pt idx="5">
                    <c:v>t=20</c:v>
                  </c:pt>
                  <c:pt idx="6">
                    <c:v>t=2</c:v>
                  </c:pt>
                  <c:pt idx="7">
                    <c:v>t=4</c:v>
                  </c:pt>
                  <c:pt idx="8">
                    <c:v>t=8</c:v>
                  </c:pt>
                  <c:pt idx="9">
                    <c:v>t=12</c:v>
                  </c:pt>
                  <c:pt idx="10">
                    <c:v>t=16</c:v>
                  </c:pt>
                  <c:pt idx="11">
                    <c:v>t=20</c:v>
                  </c:pt>
                  <c:pt idx="12">
                    <c:v>t=2</c:v>
                  </c:pt>
                  <c:pt idx="13">
                    <c:v>t=4</c:v>
                  </c:pt>
                  <c:pt idx="14">
                    <c:v>t=8</c:v>
                  </c:pt>
                  <c:pt idx="15">
                    <c:v>t=12</c:v>
                  </c:pt>
                  <c:pt idx="16">
                    <c:v>t=16</c:v>
                  </c:pt>
                  <c:pt idx="17">
                    <c:v>t=20</c:v>
                  </c:pt>
                  <c:pt idx="18">
                    <c:v>t=2</c:v>
                  </c:pt>
                  <c:pt idx="19">
                    <c:v>t=4</c:v>
                  </c:pt>
                  <c:pt idx="20">
                    <c:v>t=8</c:v>
                  </c:pt>
                  <c:pt idx="21">
                    <c:v>t=12</c:v>
                  </c:pt>
                  <c:pt idx="22">
                    <c:v>t=16</c:v>
                  </c:pt>
                  <c:pt idx="23">
                    <c:v>t=20</c:v>
                  </c:pt>
                  <c:pt idx="24">
                    <c:v>t=2</c:v>
                  </c:pt>
                  <c:pt idx="25">
                    <c:v>t=4</c:v>
                  </c:pt>
                  <c:pt idx="26">
                    <c:v>t=8</c:v>
                  </c:pt>
                  <c:pt idx="27">
                    <c:v>t=12</c:v>
                  </c:pt>
                  <c:pt idx="28">
                    <c:v>t=16</c:v>
                  </c:pt>
                  <c:pt idx="29">
                    <c:v>t=20</c:v>
                  </c:pt>
                </c:lvl>
                <c:lvl>
                  <c:pt idx="0">
                    <c:v>OpenMP Sections</c:v>
                  </c:pt>
                  <c:pt idx="6">
                    <c:v>OpenMP Tasks</c:v>
                  </c:pt>
                  <c:pt idx="12">
                    <c:v>Dynamic Tasking</c:v>
                  </c:pt>
                  <c:pt idx="18">
                    <c:v>Explicit Work Queue</c:v>
                  </c:pt>
                  <c:pt idx="24">
                    <c:v>Adaptive</c:v>
                  </c:pt>
                </c:lvl>
              </c:multiLvlStrCache>
            </c:multiLvlStrRef>
          </c:cat>
          <c:val>
            <c:numRef>
              <c:f>n20d4!$C$2:$C$31</c:f>
              <c:numCache>
                <c:formatCode>0.000</c:formatCode>
                <c:ptCount val="30"/>
                <c:pt idx="0">
                  <c:v>1.7128021360314785</c:v>
                </c:pt>
                <c:pt idx="1">
                  <c:v>3.0796422164388408</c:v>
                </c:pt>
                <c:pt idx="2">
                  <c:v>5.1187686363445462</c:v>
                </c:pt>
                <c:pt idx="3">
                  <c:v>5.4577735984237865</c:v>
                </c:pt>
                <c:pt idx="4">
                  <c:v>5.7973268645357683</c:v>
                </c:pt>
                <c:pt idx="5">
                  <c:v>5.8336763509309337</c:v>
                </c:pt>
                <c:pt idx="6">
                  <c:v>1.7908432389544366</c:v>
                </c:pt>
                <c:pt idx="7">
                  <c:v>3.363124637841119</c:v>
                </c:pt>
                <c:pt idx="8">
                  <c:v>5.8261472275334603</c:v>
                </c:pt>
                <c:pt idx="9">
                  <c:v>6.087453800819099</c:v>
                </c:pt>
                <c:pt idx="10">
                  <c:v>6.2443260412930996</c:v>
                </c:pt>
                <c:pt idx="11">
                  <c:v>6.3174726584771683</c:v>
                </c:pt>
                <c:pt idx="12">
                  <c:v>1.7852037378797199</c:v>
                </c:pt>
                <c:pt idx="13">
                  <c:v>3.3169052413868174</c:v>
                </c:pt>
                <c:pt idx="14">
                  <c:v>5.8886365832447574</c:v>
                </c:pt>
                <c:pt idx="15">
                  <c:v>6.0841112164927864</c:v>
                </c:pt>
                <c:pt idx="16">
                  <c:v>6.2995141616704569</c:v>
                </c:pt>
                <c:pt idx="17">
                  <c:v>6.3378399459206483</c:v>
                </c:pt>
                <c:pt idx="18">
                  <c:v>1.7717612513082917</c:v>
                </c:pt>
                <c:pt idx="19">
                  <c:v>3.3412741926640712</c:v>
                </c:pt>
                <c:pt idx="20">
                  <c:v>6.0771340247307535</c:v>
                </c:pt>
                <c:pt idx="21">
                  <c:v>6.2058553971486754</c:v>
                </c:pt>
                <c:pt idx="22">
                  <c:v>6.4287673400495802</c:v>
                </c:pt>
                <c:pt idx="23">
                  <c:v>6.3910125321168261</c:v>
                </c:pt>
                <c:pt idx="24">
                  <c:v>1.7918436953293835</c:v>
                </c:pt>
                <c:pt idx="25">
                  <c:v>3.3007366083518384</c:v>
                </c:pt>
                <c:pt idx="26">
                  <c:v>5.8325596975642435</c:v>
                </c:pt>
                <c:pt idx="27">
                  <c:v>6.0239707408688776</c:v>
                </c:pt>
                <c:pt idx="28">
                  <c:v>6.3319133461478518</c:v>
                </c:pt>
                <c:pt idx="29">
                  <c:v>6.3398179453836141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FB-471E-B010-FA505EFC5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047072"/>
        <c:axId val="1531045632"/>
      </c:barChart>
      <c:catAx>
        <c:axId val="153104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5632"/>
        <c:crosses val="autoZero"/>
        <c:auto val="1"/>
        <c:lblAlgn val="ctr"/>
        <c:lblOffset val="100"/>
        <c:noMultiLvlLbl val="0"/>
      </c:catAx>
      <c:valAx>
        <c:axId val="1531045632"/>
        <c:scaling>
          <c:orientation val="minMax"/>
          <c:max val="9.199999999999999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layout>
            <c:manualLayout>
              <c:xMode val="edge"/>
              <c:yMode val="edge"/>
              <c:x val="7.6481835564053535E-3"/>
              <c:y val="0.356047408796346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n20d6!$C$1</c:f>
              <c:strCache>
                <c:ptCount val="1"/>
                <c:pt idx="0">
                  <c:v>Speedup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67-4D68-9394-0266092BEB73}"/>
              </c:ext>
            </c:extLst>
          </c:dPt>
          <c:dPt>
            <c:idx val="8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67-4D68-9394-0266092BEB73}"/>
              </c:ext>
            </c:extLst>
          </c:dPt>
          <c:dPt>
            <c:idx val="10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C6-44AA-AA50-8775F4E50608}"/>
              </c:ext>
            </c:extLst>
          </c:dPt>
          <c:dPt>
            <c:idx val="16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C67-4D68-9394-0266092BEB73}"/>
              </c:ext>
            </c:extLst>
          </c:dPt>
          <c:dPt>
            <c:idx val="17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C67-4D68-9394-0266092BEB73}"/>
              </c:ext>
            </c:extLst>
          </c:dPt>
          <c:dPt>
            <c:idx val="21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C67-4D68-9394-0266092BEB73}"/>
              </c:ext>
            </c:extLst>
          </c:dPt>
          <c:dPt>
            <c:idx val="22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C67-4D68-9394-0266092BEB73}"/>
              </c:ext>
            </c:extLst>
          </c:dPt>
          <c:dPt>
            <c:idx val="28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C67-4D68-9394-0266092BEB73}"/>
              </c:ext>
            </c:extLst>
          </c:dPt>
          <c:dPt>
            <c:idx val="29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C67-4D68-9394-0266092BEB73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67-4D68-9394-0266092BEB73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C6-44AA-AA50-8775F4E50608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C67-4D68-9394-0266092BEB73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C67-4D68-9394-0266092BEB73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C67-4D68-9394-0266092BEB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n20d6!$A$2:$B$31</c:f>
              <c:multiLvlStrCache>
                <c:ptCount val="30"/>
                <c:lvl>
                  <c:pt idx="0">
                    <c:v>t=2</c:v>
                  </c:pt>
                  <c:pt idx="1">
                    <c:v>t=4</c:v>
                  </c:pt>
                  <c:pt idx="2">
                    <c:v>t=8</c:v>
                  </c:pt>
                  <c:pt idx="3">
                    <c:v>t=12</c:v>
                  </c:pt>
                  <c:pt idx="4">
                    <c:v>t=16</c:v>
                  </c:pt>
                  <c:pt idx="5">
                    <c:v>t=20</c:v>
                  </c:pt>
                  <c:pt idx="6">
                    <c:v>t=2</c:v>
                  </c:pt>
                  <c:pt idx="7">
                    <c:v>t=4</c:v>
                  </c:pt>
                  <c:pt idx="8">
                    <c:v>t=8</c:v>
                  </c:pt>
                  <c:pt idx="9">
                    <c:v>t=12</c:v>
                  </c:pt>
                  <c:pt idx="10">
                    <c:v>t=16</c:v>
                  </c:pt>
                  <c:pt idx="11">
                    <c:v>t=20</c:v>
                  </c:pt>
                  <c:pt idx="12">
                    <c:v>t=2</c:v>
                  </c:pt>
                  <c:pt idx="13">
                    <c:v>t=4</c:v>
                  </c:pt>
                  <c:pt idx="14">
                    <c:v>t=8</c:v>
                  </c:pt>
                  <c:pt idx="15">
                    <c:v>t=12</c:v>
                  </c:pt>
                  <c:pt idx="16">
                    <c:v>t=16</c:v>
                  </c:pt>
                  <c:pt idx="17">
                    <c:v>t=20</c:v>
                  </c:pt>
                  <c:pt idx="18">
                    <c:v>t=2</c:v>
                  </c:pt>
                  <c:pt idx="19">
                    <c:v>t=4</c:v>
                  </c:pt>
                  <c:pt idx="20">
                    <c:v>t=8</c:v>
                  </c:pt>
                  <c:pt idx="21">
                    <c:v>t=12</c:v>
                  </c:pt>
                  <c:pt idx="22">
                    <c:v>t=16</c:v>
                  </c:pt>
                  <c:pt idx="23">
                    <c:v>t=20</c:v>
                  </c:pt>
                  <c:pt idx="24">
                    <c:v>t=2</c:v>
                  </c:pt>
                  <c:pt idx="25">
                    <c:v>t=4</c:v>
                  </c:pt>
                  <c:pt idx="26">
                    <c:v>t=8</c:v>
                  </c:pt>
                  <c:pt idx="27">
                    <c:v>t=12</c:v>
                  </c:pt>
                  <c:pt idx="28">
                    <c:v>t=16</c:v>
                  </c:pt>
                  <c:pt idx="29">
                    <c:v>t=20</c:v>
                  </c:pt>
                </c:lvl>
                <c:lvl>
                  <c:pt idx="0">
                    <c:v>OpenMP Sections</c:v>
                  </c:pt>
                  <c:pt idx="6">
                    <c:v>OpenMP Tasks</c:v>
                  </c:pt>
                  <c:pt idx="12">
                    <c:v>Dynamic Tasking</c:v>
                  </c:pt>
                  <c:pt idx="18">
                    <c:v>Explicit Work Queue</c:v>
                  </c:pt>
                  <c:pt idx="24">
                    <c:v>Adaptive</c:v>
                  </c:pt>
                </c:lvl>
              </c:multiLvlStrCache>
            </c:multiLvlStrRef>
          </c:cat>
          <c:val>
            <c:numRef>
              <c:f>n20d6!$C$2:$C$31</c:f>
              <c:numCache>
                <c:formatCode>0.000</c:formatCode>
                <c:ptCount val="30"/>
                <c:pt idx="0">
                  <c:v>1.6516741288689898</c:v>
                </c:pt>
                <c:pt idx="1">
                  <c:v>2.901454206598217</c:v>
                </c:pt>
                <c:pt idx="2">
                  <c:v>4.4353167187234543</c:v>
                </c:pt>
                <c:pt idx="3">
                  <c:v>4.7176913774169789</c:v>
                </c:pt>
                <c:pt idx="4">
                  <c:v>4.7465245727392249</c:v>
                </c:pt>
                <c:pt idx="5">
                  <c:v>4.7998246308762802</c:v>
                </c:pt>
                <c:pt idx="6">
                  <c:v>1.731490551406065</c:v>
                </c:pt>
                <c:pt idx="7">
                  <c:v>3.0785544529308249</c:v>
                </c:pt>
                <c:pt idx="8">
                  <c:v>4.9584489962890457</c:v>
                </c:pt>
                <c:pt idx="9">
                  <c:v>5.0208000473400798</c:v>
                </c:pt>
                <c:pt idx="10">
                  <c:v>5.1211842283955278</c:v>
                </c:pt>
                <c:pt idx="11">
                  <c:v>5.0727310773645824</c:v>
                </c:pt>
                <c:pt idx="12">
                  <c:v>1.7333122235727931</c:v>
                </c:pt>
                <c:pt idx="13">
                  <c:v>3.0877132329527361</c:v>
                </c:pt>
                <c:pt idx="14">
                  <c:v>5.0433322435878392</c:v>
                </c:pt>
                <c:pt idx="15">
                  <c:v>5.1696268088347299</c:v>
                </c:pt>
                <c:pt idx="16">
                  <c:v>5.1644348408302401</c:v>
                </c:pt>
                <c:pt idx="17">
                  <c:v>5.1991666283683386</c:v>
                </c:pt>
                <c:pt idx="18">
                  <c:v>1.6537666894064906</c:v>
                </c:pt>
                <c:pt idx="19">
                  <c:v>3.0146742702837144</c:v>
                </c:pt>
                <c:pt idx="20">
                  <c:v>4.8682617551711278</c:v>
                </c:pt>
                <c:pt idx="21">
                  <c:v>5.1001743207501811</c:v>
                </c:pt>
                <c:pt idx="22">
                  <c:v>5.2578041487861933</c:v>
                </c:pt>
                <c:pt idx="23">
                  <c:v>5.2288042892137989</c:v>
                </c:pt>
                <c:pt idx="24">
                  <c:v>1.7452471678416976</c:v>
                </c:pt>
                <c:pt idx="25">
                  <c:v>3.0981705981158258</c:v>
                </c:pt>
                <c:pt idx="26">
                  <c:v>5.0651602889379737</c:v>
                </c:pt>
                <c:pt idx="27">
                  <c:v>5.03114576693301</c:v>
                </c:pt>
                <c:pt idx="28">
                  <c:v>5.1979721864853277</c:v>
                </c:pt>
                <c:pt idx="29">
                  <c:v>5.2808750991955442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6C6-44AA-AA50-8775F4E50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047072"/>
        <c:axId val="1531045632"/>
      </c:barChart>
      <c:catAx>
        <c:axId val="153104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5632"/>
        <c:crosses val="autoZero"/>
        <c:auto val="1"/>
        <c:lblAlgn val="ctr"/>
        <c:lblOffset val="100"/>
        <c:noMultiLvlLbl val="0"/>
      </c:catAx>
      <c:valAx>
        <c:axId val="1531045632"/>
        <c:scaling>
          <c:orientation val="minMax"/>
          <c:max val="9.199999999999999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layout>
            <c:manualLayout>
              <c:xMode val="edge"/>
              <c:yMode val="edge"/>
              <c:x val="7.6481835564053535E-3"/>
              <c:y val="0.356047408796346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n20d8!$C$1</c:f>
              <c:strCache>
                <c:ptCount val="1"/>
                <c:pt idx="0">
                  <c:v>Speedup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14-4432-980C-1B008C233B97}"/>
              </c:ext>
            </c:extLst>
          </c:dPt>
          <c:dPt>
            <c:idx val="8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14-4432-980C-1B008C233B97}"/>
              </c:ext>
            </c:extLst>
          </c:dPt>
          <c:dPt>
            <c:idx val="11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14-4432-980C-1B008C233B97}"/>
              </c:ext>
            </c:extLst>
          </c:dPt>
          <c:dPt>
            <c:idx val="16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514-4432-980C-1B008C233B97}"/>
              </c:ext>
            </c:extLst>
          </c:dPt>
          <c:dPt>
            <c:idx val="17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514-4432-980C-1B008C233B97}"/>
              </c:ext>
            </c:extLst>
          </c:dPt>
          <c:dPt>
            <c:idx val="21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514-4432-980C-1B008C233B97}"/>
              </c:ext>
            </c:extLst>
          </c:dPt>
          <c:dPt>
            <c:idx val="23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514-4432-980C-1B008C233B97}"/>
              </c:ext>
            </c:extLst>
          </c:dPt>
          <c:dPt>
            <c:idx val="28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514-4432-980C-1B008C233B97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14-4432-980C-1B008C233B97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514-4432-980C-1B008C233B97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514-4432-980C-1B008C233B97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514-4432-980C-1B008C233B97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514-4432-980C-1B008C233B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n20d8!$A$2:$B$31</c:f>
              <c:multiLvlStrCache>
                <c:ptCount val="30"/>
                <c:lvl>
                  <c:pt idx="0">
                    <c:v>t=2</c:v>
                  </c:pt>
                  <c:pt idx="1">
                    <c:v>t=4</c:v>
                  </c:pt>
                  <c:pt idx="2">
                    <c:v>t=8</c:v>
                  </c:pt>
                  <c:pt idx="3">
                    <c:v>t=12</c:v>
                  </c:pt>
                  <c:pt idx="4">
                    <c:v>t=16</c:v>
                  </c:pt>
                  <c:pt idx="5">
                    <c:v>t=20</c:v>
                  </c:pt>
                  <c:pt idx="6">
                    <c:v>t=2</c:v>
                  </c:pt>
                  <c:pt idx="7">
                    <c:v>t=4</c:v>
                  </c:pt>
                  <c:pt idx="8">
                    <c:v>t=8</c:v>
                  </c:pt>
                  <c:pt idx="9">
                    <c:v>t=12</c:v>
                  </c:pt>
                  <c:pt idx="10">
                    <c:v>t=16</c:v>
                  </c:pt>
                  <c:pt idx="11">
                    <c:v>t=20</c:v>
                  </c:pt>
                  <c:pt idx="12">
                    <c:v>t=2</c:v>
                  </c:pt>
                  <c:pt idx="13">
                    <c:v>t=4</c:v>
                  </c:pt>
                  <c:pt idx="14">
                    <c:v>t=8</c:v>
                  </c:pt>
                  <c:pt idx="15">
                    <c:v>t=12</c:v>
                  </c:pt>
                  <c:pt idx="16">
                    <c:v>t=16</c:v>
                  </c:pt>
                  <c:pt idx="17">
                    <c:v>t=20</c:v>
                  </c:pt>
                  <c:pt idx="18">
                    <c:v>t=2</c:v>
                  </c:pt>
                  <c:pt idx="19">
                    <c:v>t=4</c:v>
                  </c:pt>
                  <c:pt idx="20">
                    <c:v>t=8</c:v>
                  </c:pt>
                  <c:pt idx="21">
                    <c:v>t=12</c:v>
                  </c:pt>
                  <c:pt idx="22">
                    <c:v>t=16</c:v>
                  </c:pt>
                  <c:pt idx="23">
                    <c:v>t=20</c:v>
                  </c:pt>
                  <c:pt idx="24">
                    <c:v>t=2</c:v>
                  </c:pt>
                  <c:pt idx="25">
                    <c:v>t=4</c:v>
                  </c:pt>
                  <c:pt idx="26">
                    <c:v>t=8</c:v>
                  </c:pt>
                  <c:pt idx="27">
                    <c:v>t=12</c:v>
                  </c:pt>
                  <c:pt idx="28">
                    <c:v>t=16</c:v>
                  </c:pt>
                  <c:pt idx="29">
                    <c:v>t=20</c:v>
                  </c:pt>
                </c:lvl>
                <c:lvl>
                  <c:pt idx="0">
                    <c:v>OpenMP Sections</c:v>
                  </c:pt>
                  <c:pt idx="6">
                    <c:v>OpenMP Tasks</c:v>
                  </c:pt>
                  <c:pt idx="12">
                    <c:v>Dynamic Tasking</c:v>
                  </c:pt>
                  <c:pt idx="18">
                    <c:v>Explicit Work Queue</c:v>
                  </c:pt>
                  <c:pt idx="24">
                    <c:v>Adaptive</c:v>
                  </c:pt>
                </c:lvl>
              </c:multiLvlStrCache>
            </c:multiLvlStrRef>
          </c:cat>
          <c:val>
            <c:numRef>
              <c:f>n20d8!$C$2:$C$31</c:f>
              <c:numCache>
                <c:formatCode>0.000</c:formatCode>
                <c:ptCount val="30"/>
                <c:pt idx="0">
                  <c:v>1.6178757725566599</c:v>
                </c:pt>
                <c:pt idx="1">
                  <c:v>2.870873351110272</c:v>
                </c:pt>
                <c:pt idx="2">
                  <c:v>4.405779781628552</c:v>
                </c:pt>
                <c:pt idx="3">
                  <c:v>4.6813529321225182</c:v>
                </c:pt>
                <c:pt idx="4">
                  <c:v>4.7089401314070622</c:v>
                </c:pt>
                <c:pt idx="5">
                  <c:v>4.822857822441577</c:v>
                </c:pt>
                <c:pt idx="6">
                  <c:v>1.7107180898746057</c:v>
                </c:pt>
                <c:pt idx="7">
                  <c:v>2.9404698602987382</c:v>
                </c:pt>
                <c:pt idx="8">
                  <c:v>4.7450295932993365</c:v>
                </c:pt>
                <c:pt idx="9">
                  <c:v>4.7845913341002273</c:v>
                </c:pt>
                <c:pt idx="10">
                  <c:v>4.9933918896732887</c:v>
                </c:pt>
                <c:pt idx="11">
                  <c:v>5.0990821073808625</c:v>
                </c:pt>
                <c:pt idx="12">
                  <c:v>1.7291423860826061</c:v>
                </c:pt>
                <c:pt idx="13">
                  <c:v>3.0006289385736662</c:v>
                </c:pt>
                <c:pt idx="14">
                  <c:v>4.6978028343051328</c:v>
                </c:pt>
                <c:pt idx="15">
                  <c:v>4.9282589321882853</c:v>
                </c:pt>
                <c:pt idx="16">
                  <c:v>5.0595855730341759</c:v>
                </c:pt>
                <c:pt idx="17">
                  <c:v>5.2394056847545221</c:v>
                </c:pt>
                <c:pt idx="18">
                  <c:v>1.6205588616299633</c:v>
                </c:pt>
                <c:pt idx="19">
                  <c:v>2.9428882438316402</c:v>
                </c:pt>
                <c:pt idx="20">
                  <c:v>4.7422551818899406</c:v>
                </c:pt>
                <c:pt idx="21">
                  <c:v>4.9207838695977513</c:v>
                </c:pt>
                <c:pt idx="22">
                  <c:v>5.0273352755222218</c:v>
                </c:pt>
                <c:pt idx="23">
                  <c:v>5.0872483221476514</c:v>
                </c:pt>
                <c:pt idx="24">
                  <c:v>1.7259227470855487</c:v>
                </c:pt>
                <c:pt idx="25">
                  <c:v>2.9402388993951996</c:v>
                </c:pt>
                <c:pt idx="26">
                  <c:v>4.7606730581099592</c:v>
                </c:pt>
                <c:pt idx="27">
                  <c:v>4.9418718011211311</c:v>
                </c:pt>
                <c:pt idx="28">
                  <c:v>5.0883121771680715</c:v>
                </c:pt>
                <c:pt idx="29">
                  <c:v>5.021421495789995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D8E-49C7-8EB6-F1AC48443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047072"/>
        <c:axId val="1531045632"/>
      </c:barChart>
      <c:catAx>
        <c:axId val="153104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5632"/>
        <c:crosses val="autoZero"/>
        <c:auto val="1"/>
        <c:lblAlgn val="ctr"/>
        <c:lblOffset val="100"/>
        <c:noMultiLvlLbl val="0"/>
      </c:catAx>
      <c:valAx>
        <c:axId val="1531045632"/>
        <c:scaling>
          <c:orientation val="minMax"/>
          <c:max val="9.199999999999999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layout>
            <c:manualLayout>
              <c:xMode val="edge"/>
              <c:yMode val="edge"/>
              <c:x val="7.6481835564053535E-3"/>
              <c:y val="0.356047408796346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70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n24d4!$C$1</c:f>
              <c:strCache>
                <c:ptCount val="1"/>
                <c:pt idx="0">
                  <c:v>Speedup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7B0-4252-8631-8ACDF26A7347}"/>
              </c:ext>
            </c:extLst>
          </c:dPt>
          <c:dPt>
            <c:idx val="8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88F-4E73-9B8A-89DDE923A664}"/>
              </c:ext>
            </c:extLst>
          </c:dPt>
          <c:dPt>
            <c:idx val="11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8F-4E73-9B8A-89DDE923A664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F88F-4E73-9B8A-89DDE923A664}"/>
              </c:ext>
            </c:extLst>
          </c:dPt>
          <c:dPt>
            <c:idx val="17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88F-4E73-9B8A-89DDE923A664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F88F-4E73-9B8A-89DDE923A664}"/>
              </c:ext>
            </c:extLst>
          </c:dPt>
          <c:dPt>
            <c:idx val="23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88F-4E73-9B8A-89DDE923A664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88F-4E73-9B8A-89DDE923A664}"/>
              </c:ext>
            </c:extLst>
          </c:dPt>
          <c:dPt>
            <c:idx val="29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88F-4E73-9B8A-89DDE923A664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7B0-4252-8631-8ACDF26A7347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8F-4E73-9B8A-89DDE923A664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88F-4E73-9B8A-89DDE923A664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88F-4E73-9B8A-89DDE923A664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88F-4E73-9B8A-89DDE923A6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n24d4!$A$2:$B$31</c:f>
              <c:multiLvlStrCache>
                <c:ptCount val="30"/>
                <c:lvl>
                  <c:pt idx="0">
                    <c:v>t=2</c:v>
                  </c:pt>
                  <c:pt idx="1">
                    <c:v>t=4</c:v>
                  </c:pt>
                  <c:pt idx="2">
                    <c:v>t=8</c:v>
                  </c:pt>
                  <c:pt idx="3">
                    <c:v>t=12</c:v>
                  </c:pt>
                  <c:pt idx="4">
                    <c:v>t=16</c:v>
                  </c:pt>
                  <c:pt idx="5">
                    <c:v>t=20</c:v>
                  </c:pt>
                  <c:pt idx="6">
                    <c:v>t=2</c:v>
                  </c:pt>
                  <c:pt idx="7">
                    <c:v>t=4</c:v>
                  </c:pt>
                  <c:pt idx="8">
                    <c:v>t=8</c:v>
                  </c:pt>
                  <c:pt idx="9">
                    <c:v>t=12</c:v>
                  </c:pt>
                  <c:pt idx="10">
                    <c:v>t=16</c:v>
                  </c:pt>
                  <c:pt idx="11">
                    <c:v>t=20</c:v>
                  </c:pt>
                  <c:pt idx="12">
                    <c:v>t=2</c:v>
                  </c:pt>
                  <c:pt idx="13">
                    <c:v>t=4</c:v>
                  </c:pt>
                  <c:pt idx="14">
                    <c:v>t=8</c:v>
                  </c:pt>
                  <c:pt idx="15">
                    <c:v>t=12</c:v>
                  </c:pt>
                  <c:pt idx="16">
                    <c:v>t=16</c:v>
                  </c:pt>
                  <c:pt idx="17">
                    <c:v>t=20</c:v>
                  </c:pt>
                  <c:pt idx="18">
                    <c:v>t=2</c:v>
                  </c:pt>
                  <c:pt idx="19">
                    <c:v>t=4</c:v>
                  </c:pt>
                  <c:pt idx="20">
                    <c:v>t=8</c:v>
                  </c:pt>
                  <c:pt idx="21">
                    <c:v>t=12</c:v>
                  </c:pt>
                  <c:pt idx="22">
                    <c:v>t=16</c:v>
                  </c:pt>
                  <c:pt idx="23">
                    <c:v>t=20</c:v>
                  </c:pt>
                  <c:pt idx="24">
                    <c:v>t=2</c:v>
                  </c:pt>
                  <c:pt idx="25">
                    <c:v>t=4</c:v>
                  </c:pt>
                  <c:pt idx="26">
                    <c:v>t=8</c:v>
                  </c:pt>
                  <c:pt idx="27">
                    <c:v>t=12</c:v>
                  </c:pt>
                  <c:pt idx="28">
                    <c:v>t=16</c:v>
                  </c:pt>
                  <c:pt idx="29">
                    <c:v>t=20</c:v>
                  </c:pt>
                </c:lvl>
                <c:lvl>
                  <c:pt idx="0">
                    <c:v>OpenMP Sections</c:v>
                  </c:pt>
                  <c:pt idx="6">
                    <c:v>OpenMP Tasks</c:v>
                  </c:pt>
                  <c:pt idx="12">
                    <c:v>Dynamic Tasking</c:v>
                  </c:pt>
                  <c:pt idx="18">
                    <c:v>Explicit Work Queue</c:v>
                  </c:pt>
                  <c:pt idx="24">
                    <c:v>Adaptive</c:v>
                  </c:pt>
                </c:lvl>
              </c:multiLvlStrCache>
            </c:multiLvlStrRef>
          </c:cat>
          <c:val>
            <c:numRef>
              <c:f>n24d4!$C$2:$C$31</c:f>
              <c:numCache>
                <c:formatCode>0.000</c:formatCode>
                <c:ptCount val="30"/>
                <c:pt idx="0">
                  <c:v>1.7796203959912669</c:v>
                </c:pt>
                <c:pt idx="1">
                  <c:v>3.3482427601977074</c:v>
                </c:pt>
                <c:pt idx="2">
                  <c:v>5.6665271602656784</c:v>
                </c:pt>
                <c:pt idx="3">
                  <c:v>6.4721011658658325</c:v>
                </c:pt>
                <c:pt idx="4">
                  <c:v>7.2348299791811241</c:v>
                </c:pt>
                <c:pt idx="5">
                  <c:v>7.2805544886343796</c:v>
                </c:pt>
                <c:pt idx="6">
                  <c:v>1.8033793285971533</c:v>
                </c:pt>
                <c:pt idx="7">
                  <c:v>3.3439791381998036</c:v>
                </c:pt>
                <c:pt idx="8">
                  <c:v>5.8706148007162726</c:v>
                </c:pt>
                <c:pt idx="9">
                  <c:v>6.7844922396121436</c:v>
                </c:pt>
                <c:pt idx="10">
                  <c:v>7.4780079475518964</c:v>
                </c:pt>
                <c:pt idx="11">
                  <c:v>7.9720663128756479</c:v>
                </c:pt>
                <c:pt idx="12">
                  <c:v>1.7348874903066267</c:v>
                </c:pt>
                <c:pt idx="13">
                  <c:v>3.2265661026705992</c:v>
                </c:pt>
                <c:pt idx="14">
                  <c:v>5.6889139901123</c:v>
                </c:pt>
                <c:pt idx="15">
                  <c:v>6.5605212980850913</c:v>
                </c:pt>
                <c:pt idx="16">
                  <c:v>7.4809592491335319</c:v>
                </c:pt>
                <c:pt idx="17">
                  <c:v>7.9914377917628032</c:v>
                </c:pt>
                <c:pt idx="18">
                  <c:v>1.735184904705712</c:v>
                </c:pt>
                <c:pt idx="19">
                  <c:v>3.2979112428468849</c:v>
                </c:pt>
                <c:pt idx="20">
                  <c:v>5.8426167218682217</c:v>
                </c:pt>
                <c:pt idx="21">
                  <c:v>6.8666245134264656</c:v>
                </c:pt>
                <c:pt idx="22">
                  <c:v>7.7349443179035937</c:v>
                </c:pt>
                <c:pt idx="23">
                  <c:v>8.3878206159688471</c:v>
                </c:pt>
                <c:pt idx="24">
                  <c:v>1.7344891725340397</c:v>
                </c:pt>
                <c:pt idx="25">
                  <c:v>3.274645299292954</c:v>
                </c:pt>
                <c:pt idx="26">
                  <c:v>5.6182482499205122</c:v>
                </c:pt>
                <c:pt idx="27">
                  <c:v>6.6090564458870071</c:v>
                </c:pt>
                <c:pt idx="28">
                  <c:v>7.3743333286177091</c:v>
                </c:pt>
                <c:pt idx="29">
                  <c:v>7.9792050942544215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B0-4252-8631-8ACDF26A7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047072"/>
        <c:axId val="1531045632"/>
      </c:barChart>
      <c:catAx>
        <c:axId val="153104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5632"/>
        <c:crosses val="autoZero"/>
        <c:auto val="1"/>
        <c:lblAlgn val="ctr"/>
        <c:lblOffset val="100"/>
        <c:noMultiLvlLbl val="0"/>
      </c:catAx>
      <c:valAx>
        <c:axId val="1531045632"/>
        <c:scaling>
          <c:orientation val="minMax"/>
          <c:max val="9.199999999999999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layout>
            <c:manualLayout>
              <c:xMode val="edge"/>
              <c:yMode val="edge"/>
              <c:x val="7.6481835564053535E-3"/>
              <c:y val="0.356047408796346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n24d6!$C$1</c:f>
              <c:strCache>
                <c:ptCount val="1"/>
                <c:pt idx="0">
                  <c:v>Speedup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00-487F-81C1-DB0FD768BE9A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F1D-4FD6-952A-DA322B962B48}"/>
              </c:ext>
            </c:extLst>
          </c:dPt>
          <c:dPt>
            <c:idx val="8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400-487F-81C1-DB0FD768BE9A}"/>
              </c:ext>
            </c:extLst>
          </c:dPt>
          <c:dPt>
            <c:idx val="11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400-487F-81C1-DB0FD768BE9A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400-487F-81C1-DB0FD768BE9A}"/>
              </c:ext>
            </c:extLst>
          </c:dPt>
          <c:dPt>
            <c:idx val="17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400-487F-81C1-DB0FD768BE9A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2400-487F-81C1-DB0FD768BE9A}"/>
              </c:ext>
            </c:extLst>
          </c:dPt>
          <c:dPt>
            <c:idx val="23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400-487F-81C1-DB0FD768BE9A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400-487F-81C1-DB0FD768BE9A}"/>
              </c:ext>
            </c:extLst>
          </c:dPt>
          <c:dPt>
            <c:idx val="29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400-487F-81C1-DB0FD768BE9A}"/>
              </c:ext>
            </c:extLst>
          </c:dPt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00-487F-81C1-DB0FD768BE9A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400-487F-81C1-DB0FD768BE9A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400-487F-81C1-DB0FD768BE9A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400-487F-81C1-DB0FD768BE9A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400-487F-81C1-DB0FD768BE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n24d6!$A$2:$B$31</c:f>
              <c:multiLvlStrCache>
                <c:ptCount val="30"/>
                <c:lvl>
                  <c:pt idx="0">
                    <c:v>t=2</c:v>
                  </c:pt>
                  <c:pt idx="1">
                    <c:v>t=4</c:v>
                  </c:pt>
                  <c:pt idx="2">
                    <c:v>t=8</c:v>
                  </c:pt>
                  <c:pt idx="3">
                    <c:v>t=12</c:v>
                  </c:pt>
                  <c:pt idx="4">
                    <c:v>t=16</c:v>
                  </c:pt>
                  <c:pt idx="5">
                    <c:v>t=20</c:v>
                  </c:pt>
                  <c:pt idx="6">
                    <c:v>t=2</c:v>
                  </c:pt>
                  <c:pt idx="7">
                    <c:v>t=4</c:v>
                  </c:pt>
                  <c:pt idx="8">
                    <c:v>t=8</c:v>
                  </c:pt>
                  <c:pt idx="9">
                    <c:v>t=12</c:v>
                  </c:pt>
                  <c:pt idx="10">
                    <c:v>t=16</c:v>
                  </c:pt>
                  <c:pt idx="11">
                    <c:v>t=20</c:v>
                  </c:pt>
                  <c:pt idx="12">
                    <c:v>t=2</c:v>
                  </c:pt>
                  <c:pt idx="13">
                    <c:v>t=4</c:v>
                  </c:pt>
                  <c:pt idx="14">
                    <c:v>t=8</c:v>
                  </c:pt>
                  <c:pt idx="15">
                    <c:v>t=12</c:v>
                  </c:pt>
                  <c:pt idx="16">
                    <c:v>t=16</c:v>
                  </c:pt>
                  <c:pt idx="17">
                    <c:v>t=20</c:v>
                  </c:pt>
                  <c:pt idx="18">
                    <c:v>t=2</c:v>
                  </c:pt>
                  <c:pt idx="19">
                    <c:v>t=4</c:v>
                  </c:pt>
                  <c:pt idx="20">
                    <c:v>t=8</c:v>
                  </c:pt>
                  <c:pt idx="21">
                    <c:v>t=12</c:v>
                  </c:pt>
                  <c:pt idx="22">
                    <c:v>t=16</c:v>
                  </c:pt>
                  <c:pt idx="23">
                    <c:v>t=20</c:v>
                  </c:pt>
                  <c:pt idx="24">
                    <c:v>t=2</c:v>
                  </c:pt>
                  <c:pt idx="25">
                    <c:v>t=4</c:v>
                  </c:pt>
                  <c:pt idx="26">
                    <c:v>t=8</c:v>
                  </c:pt>
                  <c:pt idx="27">
                    <c:v>t=12</c:v>
                  </c:pt>
                  <c:pt idx="28">
                    <c:v>t=16</c:v>
                  </c:pt>
                  <c:pt idx="29">
                    <c:v>t=20</c:v>
                  </c:pt>
                </c:lvl>
                <c:lvl>
                  <c:pt idx="0">
                    <c:v>OpenMP Sections</c:v>
                  </c:pt>
                  <c:pt idx="6">
                    <c:v>OpenMP Tasks</c:v>
                  </c:pt>
                  <c:pt idx="12">
                    <c:v>Dynamic Tasking</c:v>
                  </c:pt>
                  <c:pt idx="18">
                    <c:v>Explicit Work Queue</c:v>
                  </c:pt>
                  <c:pt idx="24">
                    <c:v>Adaptive</c:v>
                  </c:pt>
                </c:lvl>
              </c:multiLvlStrCache>
            </c:multiLvlStrRef>
          </c:cat>
          <c:val>
            <c:numRef>
              <c:f>n24d6!$C$2:$C$31</c:f>
              <c:numCache>
                <c:formatCode>0.000</c:formatCode>
                <c:ptCount val="30"/>
                <c:pt idx="0">
                  <c:v>1.7377343160337504</c:v>
                </c:pt>
                <c:pt idx="1">
                  <c:v>3.1995175012736565</c:v>
                </c:pt>
                <c:pt idx="2">
                  <c:v>4.9888544140684212</c:v>
                </c:pt>
                <c:pt idx="3">
                  <c:v>5.875909141770169</c:v>
                </c:pt>
                <c:pt idx="4">
                  <c:v>6.5177725431373688</c:v>
                </c:pt>
                <c:pt idx="5">
                  <c:v>6.1228863595768743</c:v>
                </c:pt>
                <c:pt idx="6">
                  <c:v>1.7961981696777831</c:v>
                </c:pt>
                <c:pt idx="7">
                  <c:v>3.1408695541514753</c:v>
                </c:pt>
                <c:pt idx="8">
                  <c:v>4.8759070300384248</c:v>
                </c:pt>
                <c:pt idx="9">
                  <c:v>5.8126813437335141</c:v>
                </c:pt>
                <c:pt idx="10">
                  <c:v>6.1530796423994936</c:v>
                </c:pt>
                <c:pt idx="11">
                  <c:v>6.4826096320732907</c:v>
                </c:pt>
                <c:pt idx="12">
                  <c:v>1.7881506297006575</c:v>
                </c:pt>
                <c:pt idx="13">
                  <c:v>3.1816583325920971</c:v>
                </c:pt>
                <c:pt idx="14">
                  <c:v>4.8594906427509619</c:v>
                </c:pt>
                <c:pt idx="15">
                  <c:v>5.7690272333522659</c:v>
                </c:pt>
                <c:pt idx="16">
                  <c:v>6.1481748115524688</c:v>
                </c:pt>
                <c:pt idx="17">
                  <c:v>6.5592055958031477</c:v>
                </c:pt>
                <c:pt idx="18">
                  <c:v>1.7616717998865099</c:v>
                </c:pt>
                <c:pt idx="19">
                  <c:v>3.1430694487777853</c:v>
                </c:pt>
                <c:pt idx="20">
                  <c:v>5.0499054719853333</c:v>
                </c:pt>
                <c:pt idx="21">
                  <c:v>6.0294742036590518</c:v>
                </c:pt>
                <c:pt idx="22">
                  <c:v>6.3928278184290619</c:v>
                </c:pt>
                <c:pt idx="23">
                  <c:v>7.0634710762723261</c:v>
                </c:pt>
                <c:pt idx="24">
                  <c:v>1.7957041819545665</c:v>
                </c:pt>
                <c:pt idx="25">
                  <c:v>3.1641799655391685</c:v>
                </c:pt>
                <c:pt idx="26">
                  <c:v>4.8845048625156835</c:v>
                </c:pt>
                <c:pt idx="27">
                  <c:v>5.7892575165483686</c:v>
                </c:pt>
                <c:pt idx="28">
                  <c:v>6.0534162983601574</c:v>
                </c:pt>
                <c:pt idx="29">
                  <c:v>6.692075344824314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F1D-4FD6-952A-DA322B962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047072"/>
        <c:axId val="1531045632"/>
      </c:barChart>
      <c:catAx>
        <c:axId val="153104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5632"/>
        <c:crosses val="autoZero"/>
        <c:auto val="1"/>
        <c:lblAlgn val="ctr"/>
        <c:lblOffset val="100"/>
        <c:noMultiLvlLbl val="0"/>
      </c:catAx>
      <c:valAx>
        <c:axId val="1531045632"/>
        <c:scaling>
          <c:orientation val="minMax"/>
          <c:max val="9.199999999999999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layout>
            <c:manualLayout>
              <c:xMode val="edge"/>
              <c:yMode val="edge"/>
              <c:x val="7.6481835564053535E-3"/>
              <c:y val="0.356047408796346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n24d8!$C$1</c:f>
              <c:strCache>
                <c:ptCount val="1"/>
                <c:pt idx="0">
                  <c:v>Speedup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BD4-4883-85A2-1CA0D0EEC74B}"/>
              </c:ext>
            </c:extLst>
          </c:dPt>
          <c:dPt>
            <c:idx val="8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1F-424A-B0C1-AFCA1E7DFC0D}"/>
              </c:ext>
            </c:extLst>
          </c:dPt>
          <c:dPt>
            <c:idx val="11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1F-424A-B0C1-AFCA1E7DFC0D}"/>
              </c:ext>
            </c:extLst>
          </c:dPt>
          <c:dPt>
            <c:idx val="16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A1F-424A-B0C1-AFCA1E7DFC0D}"/>
              </c:ext>
            </c:extLst>
          </c:dPt>
          <c:dPt>
            <c:idx val="17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1F-424A-B0C1-AFCA1E7DFC0D}"/>
              </c:ext>
            </c:extLst>
          </c:dPt>
          <c:dPt>
            <c:idx val="21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A1F-424A-B0C1-AFCA1E7DFC0D}"/>
              </c:ext>
            </c:extLst>
          </c:dPt>
          <c:dPt>
            <c:idx val="23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A1F-424A-B0C1-AFCA1E7DFC0D}"/>
              </c:ext>
            </c:extLst>
          </c:dPt>
          <c:dPt>
            <c:idx val="28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A1F-424A-B0C1-AFCA1E7DFC0D}"/>
              </c:ext>
            </c:extLst>
          </c:dPt>
          <c:dPt>
            <c:idx val="29"/>
            <c:invertIfNegative val="0"/>
            <c:bubble3D val="0"/>
            <c:spPr>
              <a:pattFill prst="wdUpDiag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A1F-424A-B0C1-AFCA1E7DFC0D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BD4-4883-85A2-1CA0D0EEC74B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1F-424A-B0C1-AFCA1E7DFC0D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A1F-424A-B0C1-AFCA1E7DFC0D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A1F-424A-B0C1-AFCA1E7DFC0D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A1F-424A-B0C1-AFCA1E7DFC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n24d8!$A$2:$B$31</c:f>
              <c:multiLvlStrCache>
                <c:ptCount val="30"/>
                <c:lvl>
                  <c:pt idx="0">
                    <c:v>t=2</c:v>
                  </c:pt>
                  <c:pt idx="1">
                    <c:v>t=4</c:v>
                  </c:pt>
                  <c:pt idx="2">
                    <c:v>t=8</c:v>
                  </c:pt>
                  <c:pt idx="3">
                    <c:v>t=12</c:v>
                  </c:pt>
                  <c:pt idx="4">
                    <c:v>t=16</c:v>
                  </c:pt>
                  <c:pt idx="5">
                    <c:v>t=20</c:v>
                  </c:pt>
                  <c:pt idx="6">
                    <c:v>t=2</c:v>
                  </c:pt>
                  <c:pt idx="7">
                    <c:v>t=4</c:v>
                  </c:pt>
                  <c:pt idx="8">
                    <c:v>t=8</c:v>
                  </c:pt>
                  <c:pt idx="9">
                    <c:v>t=12</c:v>
                  </c:pt>
                  <c:pt idx="10">
                    <c:v>t=16</c:v>
                  </c:pt>
                  <c:pt idx="11">
                    <c:v>t=20</c:v>
                  </c:pt>
                  <c:pt idx="12">
                    <c:v>t=2</c:v>
                  </c:pt>
                  <c:pt idx="13">
                    <c:v>t=4</c:v>
                  </c:pt>
                  <c:pt idx="14">
                    <c:v>t=8</c:v>
                  </c:pt>
                  <c:pt idx="15">
                    <c:v>t=12</c:v>
                  </c:pt>
                  <c:pt idx="16">
                    <c:v>t=16</c:v>
                  </c:pt>
                  <c:pt idx="17">
                    <c:v>t=20</c:v>
                  </c:pt>
                  <c:pt idx="18">
                    <c:v>t=2</c:v>
                  </c:pt>
                  <c:pt idx="19">
                    <c:v>t=4</c:v>
                  </c:pt>
                  <c:pt idx="20">
                    <c:v>t=8</c:v>
                  </c:pt>
                  <c:pt idx="21">
                    <c:v>t=12</c:v>
                  </c:pt>
                  <c:pt idx="22">
                    <c:v>t=16</c:v>
                  </c:pt>
                  <c:pt idx="23">
                    <c:v>t=20</c:v>
                  </c:pt>
                  <c:pt idx="24">
                    <c:v>t=2</c:v>
                  </c:pt>
                  <c:pt idx="25">
                    <c:v>t=4</c:v>
                  </c:pt>
                  <c:pt idx="26">
                    <c:v>t=8</c:v>
                  </c:pt>
                  <c:pt idx="27">
                    <c:v>t=12</c:v>
                  </c:pt>
                  <c:pt idx="28">
                    <c:v>t=16</c:v>
                  </c:pt>
                  <c:pt idx="29">
                    <c:v>t=20</c:v>
                  </c:pt>
                </c:lvl>
                <c:lvl>
                  <c:pt idx="0">
                    <c:v>OpenMP Sections</c:v>
                  </c:pt>
                  <c:pt idx="6">
                    <c:v>OpenMP Tasks</c:v>
                  </c:pt>
                  <c:pt idx="12">
                    <c:v>Dynamic Tasking</c:v>
                  </c:pt>
                  <c:pt idx="18">
                    <c:v>Explicit Work Queue</c:v>
                  </c:pt>
                  <c:pt idx="24">
                    <c:v>Adaptive</c:v>
                  </c:pt>
                </c:lvl>
              </c:multiLvlStrCache>
            </c:multiLvlStrRef>
          </c:cat>
          <c:val>
            <c:numRef>
              <c:f>n24d8!$C$2:$C$31</c:f>
              <c:numCache>
                <c:formatCode>0.000</c:formatCode>
                <c:ptCount val="30"/>
                <c:pt idx="0">
                  <c:v>1.7501513460943476</c:v>
                </c:pt>
                <c:pt idx="1">
                  <c:v>2.8894674250182271</c:v>
                </c:pt>
                <c:pt idx="2">
                  <c:v>4.2289565027184004</c:v>
                </c:pt>
                <c:pt idx="3">
                  <c:v>4.6557458212101359</c:v>
                </c:pt>
                <c:pt idx="4">
                  <c:v>4.7952790918154715</c:v>
                </c:pt>
                <c:pt idx="5">
                  <c:v>4.8274263814464495</c:v>
                </c:pt>
                <c:pt idx="6">
                  <c:v>1.7672295281897825</c:v>
                </c:pt>
                <c:pt idx="7">
                  <c:v>2.7959954539853982</c:v>
                </c:pt>
                <c:pt idx="8">
                  <c:v>3.7298576304229458</c:v>
                </c:pt>
                <c:pt idx="9">
                  <c:v>3.7997097214230764</c:v>
                </c:pt>
                <c:pt idx="10">
                  <c:v>4.0651667192333019</c:v>
                </c:pt>
                <c:pt idx="11">
                  <c:v>4.3429016259225435</c:v>
                </c:pt>
                <c:pt idx="12">
                  <c:v>1.7322056547208537</c:v>
                </c:pt>
                <c:pt idx="13">
                  <c:v>2.7829364205641771</c:v>
                </c:pt>
                <c:pt idx="14">
                  <c:v>3.7112162674996672</c:v>
                </c:pt>
                <c:pt idx="15">
                  <c:v>3.8134939096119318</c:v>
                </c:pt>
                <c:pt idx="16">
                  <c:v>4.1376755784090653</c:v>
                </c:pt>
                <c:pt idx="17">
                  <c:v>4.4177404055027143</c:v>
                </c:pt>
                <c:pt idx="18">
                  <c:v>1.7608864603544212</c:v>
                </c:pt>
                <c:pt idx="19">
                  <c:v>2.9364873486815579</c:v>
                </c:pt>
                <c:pt idx="20">
                  <c:v>4.2831356470739124</c:v>
                </c:pt>
                <c:pt idx="21">
                  <c:v>4.6085139082194733</c:v>
                </c:pt>
                <c:pt idx="22">
                  <c:v>5.0159147798020216</c:v>
                </c:pt>
                <c:pt idx="23">
                  <c:v>5.4182185760814354</c:v>
                </c:pt>
                <c:pt idx="24">
                  <c:v>1.7265035423950574</c:v>
                </c:pt>
                <c:pt idx="25">
                  <c:v>2.7881538330898925</c:v>
                </c:pt>
                <c:pt idx="26">
                  <c:v>3.754604656273397</c:v>
                </c:pt>
                <c:pt idx="27">
                  <c:v>3.9296680475730725</c:v>
                </c:pt>
                <c:pt idx="28">
                  <c:v>4.2977621097183407</c:v>
                </c:pt>
                <c:pt idx="29">
                  <c:v>4.4700886358416145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BD4-4883-85A2-1CA0D0EEC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047072"/>
        <c:axId val="1531045632"/>
      </c:barChart>
      <c:catAx>
        <c:axId val="153104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5632"/>
        <c:crosses val="autoZero"/>
        <c:auto val="1"/>
        <c:lblAlgn val="ctr"/>
        <c:lblOffset val="100"/>
        <c:noMultiLvlLbl val="0"/>
      </c:catAx>
      <c:valAx>
        <c:axId val="1531045632"/>
        <c:scaling>
          <c:orientation val="minMax"/>
          <c:max val="9.199999999999999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layout>
            <c:manualLayout>
              <c:xMode val="edge"/>
              <c:yMode val="edge"/>
              <c:x val="7.6481835564053535E-3"/>
              <c:y val="0.356047408796346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70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efficiency!$H$1</c:f>
              <c:strCache>
                <c:ptCount val="1"/>
                <c:pt idx="0">
                  <c:v>n=12  d=4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efficiency!$A$2:$B$31</c:f>
              <c:multiLvlStrCache>
                <c:ptCount val="30"/>
                <c:lvl>
                  <c:pt idx="0">
                    <c:v>t=2</c:v>
                  </c:pt>
                  <c:pt idx="1">
                    <c:v>t=4</c:v>
                  </c:pt>
                  <c:pt idx="2">
                    <c:v>t=8</c:v>
                  </c:pt>
                  <c:pt idx="3">
                    <c:v>t=12</c:v>
                  </c:pt>
                  <c:pt idx="4">
                    <c:v>t=16</c:v>
                  </c:pt>
                  <c:pt idx="5">
                    <c:v>t=20</c:v>
                  </c:pt>
                  <c:pt idx="6">
                    <c:v>t=2</c:v>
                  </c:pt>
                  <c:pt idx="7">
                    <c:v>t=4</c:v>
                  </c:pt>
                  <c:pt idx="8">
                    <c:v>t=8</c:v>
                  </c:pt>
                  <c:pt idx="9">
                    <c:v>t=12</c:v>
                  </c:pt>
                  <c:pt idx="10">
                    <c:v>t=16</c:v>
                  </c:pt>
                  <c:pt idx="11">
                    <c:v>t=20</c:v>
                  </c:pt>
                  <c:pt idx="12">
                    <c:v>t=2</c:v>
                  </c:pt>
                  <c:pt idx="13">
                    <c:v>t=4</c:v>
                  </c:pt>
                  <c:pt idx="14">
                    <c:v>t=8</c:v>
                  </c:pt>
                  <c:pt idx="15">
                    <c:v>t=12</c:v>
                  </c:pt>
                  <c:pt idx="16">
                    <c:v>t=16</c:v>
                  </c:pt>
                  <c:pt idx="17">
                    <c:v>t=20</c:v>
                  </c:pt>
                  <c:pt idx="18">
                    <c:v>t=2</c:v>
                  </c:pt>
                  <c:pt idx="19">
                    <c:v>t=4</c:v>
                  </c:pt>
                  <c:pt idx="20">
                    <c:v>t=8</c:v>
                  </c:pt>
                  <c:pt idx="21">
                    <c:v>t=12</c:v>
                  </c:pt>
                  <c:pt idx="22">
                    <c:v>t=16</c:v>
                  </c:pt>
                  <c:pt idx="23">
                    <c:v>t=20</c:v>
                  </c:pt>
                  <c:pt idx="24">
                    <c:v>t=2</c:v>
                  </c:pt>
                  <c:pt idx="25">
                    <c:v>t=4</c:v>
                  </c:pt>
                  <c:pt idx="26">
                    <c:v>t=8</c:v>
                  </c:pt>
                  <c:pt idx="27">
                    <c:v>t=12</c:v>
                  </c:pt>
                  <c:pt idx="28">
                    <c:v>t=16</c:v>
                  </c:pt>
                  <c:pt idx="29">
                    <c:v>t=20</c:v>
                  </c:pt>
                </c:lvl>
                <c:lvl>
                  <c:pt idx="0">
                    <c:v>OpenMP Sections</c:v>
                  </c:pt>
                  <c:pt idx="6">
                    <c:v>OpenMP Tasks</c:v>
                  </c:pt>
                  <c:pt idx="12">
                    <c:v>Dynamic Tasking</c:v>
                  </c:pt>
                  <c:pt idx="18">
                    <c:v>Explicit Work Queue</c:v>
                  </c:pt>
                  <c:pt idx="24">
                    <c:v>Adaptive</c:v>
                  </c:pt>
                </c:lvl>
              </c:multiLvlStrCache>
            </c:multiLvlStrRef>
          </c:cat>
          <c:val>
            <c:numRef>
              <c:f>efficiency!$H$2:$H$31</c:f>
              <c:numCache>
                <c:formatCode>General</c:formatCode>
                <c:ptCount val="30"/>
                <c:pt idx="0">
                  <c:v>62.552301255230127</c:v>
                </c:pt>
                <c:pt idx="1">
                  <c:v>47.916666666666664</c:v>
                </c:pt>
                <c:pt idx="2">
                  <c:v>24.112903225806452</c:v>
                </c:pt>
                <c:pt idx="3">
                  <c:v>17.183908045977013</c:v>
                </c:pt>
                <c:pt idx="4">
                  <c:v>14.157196969696969</c:v>
                </c:pt>
                <c:pt idx="5">
                  <c:v>14.65686274509804</c:v>
                </c:pt>
                <c:pt idx="6">
                  <c:v>79.521276595744666</c:v>
                </c:pt>
                <c:pt idx="7">
                  <c:v>59.8</c:v>
                </c:pt>
                <c:pt idx="8">
                  <c:v>37.004950495049499</c:v>
                </c:pt>
                <c:pt idx="9">
                  <c:v>21.115819209039547</c:v>
                </c:pt>
                <c:pt idx="10">
                  <c:v>17.464953271028037</c:v>
                </c:pt>
                <c:pt idx="11">
                  <c:v>10.033557046979865</c:v>
                </c:pt>
                <c:pt idx="12">
                  <c:v>83.519553072625698</c:v>
                </c:pt>
                <c:pt idx="13">
                  <c:v>63.888888888888886</c:v>
                </c:pt>
                <c:pt idx="14">
                  <c:v>40.188172043010752</c:v>
                </c:pt>
                <c:pt idx="15">
                  <c:v>27.38095238095238</c:v>
                </c:pt>
                <c:pt idx="16">
                  <c:v>22.247023809523807</c:v>
                </c:pt>
                <c:pt idx="17">
                  <c:v>16.25</c:v>
                </c:pt>
                <c:pt idx="18">
                  <c:v>80.376344086021504</c:v>
                </c:pt>
                <c:pt idx="19">
                  <c:v>63.347457627118644</c:v>
                </c:pt>
                <c:pt idx="20">
                  <c:v>41.071428571428569</c:v>
                </c:pt>
                <c:pt idx="21">
                  <c:v>28.639846743295021</c:v>
                </c:pt>
                <c:pt idx="22">
                  <c:v>21.235795454545457</c:v>
                </c:pt>
                <c:pt idx="23">
                  <c:v>16.988636363636363</c:v>
                </c:pt>
                <c:pt idx="24">
                  <c:v>83.519553072625698</c:v>
                </c:pt>
                <c:pt idx="25">
                  <c:v>62.815126050420169</c:v>
                </c:pt>
                <c:pt idx="26">
                  <c:v>41.99438202247191</c:v>
                </c:pt>
                <c:pt idx="27">
                  <c:v>29.313725490196074</c:v>
                </c:pt>
                <c:pt idx="28">
                  <c:v>23.655063291139239</c:v>
                </c:pt>
                <c:pt idx="29">
                  <c:v>17.183908045977013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AD2-4E45-95B3-6C5790C92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047072"/>
        <c:axId val="1531045632"/>
      </c:barChart>
      <c:catAx>
        <c:axId val="153104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5632"/>
        <c:crosses val="autoZero"/>
        <c:auto val="1"/>
        <c:lblAlgn val="ctr"/>
        <c:lblOffset val="100"/>
        <c:noMultiLvlLbl val="0"/>
      </c:catAx>
      <c:valAx>
        <c:axId val="153104563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layout>
            <c:manualLayout>
              <c:xMode val="edge"/>
              <c:yMode val="edge"/>
              <c:x val="7.6481835564053535E-3"/>
              <c:y val="0.356047408796346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4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546100</xdr:colOff>
      <xdr:row>1</xdr:row>
      <xdr:rowOff>95250</xdr:rowOff>
    </xdr:from>
    <xdr:to>
      <xdr:col>14</xdr:col>
      <xdr:colOff>619125</xdr:colOff>
      <xdr:row>17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3484B3-BDD6-4B31-A140-4508ACA9D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447674</xdr:colOff>
      <xdr:row>2</xdr:row>
      <xdr:rowOff>6350</xdr:rowOff>
    </xdr:from>
    <xdr:to>
      <xdr:col>14</xdr:col>
      <xdr:colOff>520699</xdr:colOff>
      <xdr:row>18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700A8E-01CA-463E-A1B4-5FF2EAA9A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447674</xdr:colOff>
      <xdr:row>2</xdr:row>
      <xdr:rowOff>6350</xdr:rowOff>
    </xdr:from>
    <xdr:to>
      <xdr:col>14</xdr:col>
      <xdr:colOff>520699</xdr:colOff>
      <xdr:row>18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3DC5CD-6E88-437B-BEAE-D24BF2A26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447674</xdr:colOff>
      <xdr:row>2</xdr:row>
      <xdr:rowOff>6350</xdr:rowOff>
    </xdr:from>
    <xdr:to>
      <xdr:col>14</xdr:col>
      <xdr:colOff>520699</xdr:colOff>
      <xdr:row>18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49F5A0-8F9E-4E9F-944B-04708CF41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447674</xdr:colOff>
      <xdr:row>2</xdr:row>
      <xdr:rowOff>6350</xdr:rowOff>
    </xdr:from>
    <xdr:to>
      <xdr:col>14</xdr:col>
      <xdr:colOff>520699</xdr:colOff>
      <xdr:row>18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1B0F4D-C28C-4298-A6D7-D8B1F7A8B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447674</xdr:colOff>
      <xdr:row>2</xdr:row>
      <xdr:rowOff>6350</xdr:rowOff>
    </xdr:from>
    <xdr:to>
      <xdr:col>14</xdr:col>
      <xdr:colOff>520699</xdr:colOff>
      <xdr:row>18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72E382-6EAD-4756-AE7D-185F7D168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447674</xdr:colOff>
      <xdr:row>2</xdr:row>
      <xdr:rowOff>6350</xdr:rowOff>
    </xdr:from>
    <xdr:to>
      <xdr:col>14</xdr:col>
      <xdr:colOff>520699</xdr:colOff>
      <xdr:row>18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8C91DD-D024-4489-BED1-90BC6DEDB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447674</xdr:colOff>
      <xdr:row>2</xdr:row>
      <xdr:rowOff>6350</xdr:rowOff>
    </xdr:from>
    <xdr:to>
      <xdr:col>14</xdr:col>
      <xdr:colOff>520699</xdr:colOff>
      <xdr:row>18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83A7B4-F248-4512-B43D-A79FCB0749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447674</xdr:colOff>
      <xdr:row>2</xdr:row>
      <xdr:rowOff>6350</xdr:rowOff>
    </xdr:from>
    <xdr:to>
      <xdr:col>14</xdr:col>
      <xdr:colOff>520699</xdr:colOff>
      <xdr:row>18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E639CF-EB69-42FC-9256-A6895DB77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447674</xdr:colOff>
      <xdr:row>2</xdr:row>
      <xdr:rowOff>6350</xdr:rowOff>
    </xdr:from>
    <xdr:to>
      <xdr:col>14</xdr:col>
      <xdr:colOff>520699</xdr:colOff>
      <xdr:row>18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66A91-C6D0-4FFD-BCA2-9D299731B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447674</xdr:colOff>
      <xdr:row>2</xdr:row>
      <xdr:rowOff>6350</xdr:rowOff>
    </xdr:from>
    <xdr:to>
      <xdr:col>14</xdr:col>
      <xdr:colOff>520699</xdr:colOff>
      <xdr:row>18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8D2FF-9812-4C0F-B0DE-3E7918F5C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447674</xdr:colOff>
      <xdr:row>2</xdr:row>
      <xdr:rowOff>6350</xdr:rowOff>
    </xdr:from>
    <xdr:to>
      <xdr:col>14</xdr:col>
      <xdr:colOff>520699</xdr:colOff>
      <xdr:row>18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2B0176-FFCC-4BD3-8C71-1DAB18F56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749300</xdr:colOff>
      <xdr:row>2</xdr:row>
      <xdr:rowOff>95250</xdr:rowOff>
    </xdr:from>
    <xdr:to>
      <xdr:col>20</xdr:col>
      <xdr:colOff>822325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CEB004-10BF-4761-A081-401188819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5AFC-1E1E-4D19-8676-40F7A9235197}">
  <dimension ref="A1:E36"/>
  <sheetViews>
    <sheetView workbookViewId="0">
      <selection activeCell="A2" sqref="A2:A31"/>
    </sheetView>
  </sheetViews>
  <sheetFormatPr defaultRowHeight="18" x14ac:dyDescent="0.6"/>
  <cols>
    <col min="1" max="1" width="14.375" bestFit="1" customWidth="1"/>
    <col min="3" max="4" width="14.3125" bestFit="1" customWidth="1"/>
  </cols>
  <sheetData>
    <row r="1" spans="1:5" x14ac:dyDescent="0.6">
      <c r="A1" t="s">
        <v>0</v>
      </c>
      <c r="B1" t="s">
        <v>1</v>
      </c>
      <c r="C1" t="s">
        <v>13</v>
      </c>
      <c r="D1" t="s">
        <v>14</v>
      </c>
      <c r="E1" t="s">
        <v>15</v>
      </c>
    </row>
    <row r="2" spans="1:5" x14ac:dyDescent="0.6">
      <c r="A2" s="3" t="s">
        <v>3</v>
      </c>
      <c r="B2" t="s">
        <v>12</v>
      </c>
      <c r="C2" s="2">
        <f t="shared" ref="C2:C31" si="0">E2/D2</f>
        <v>1.2510460251046025</v>
      </c>
      <c r="D2">
        <v>0.23899999999999999</v>
      </c>
      <c r="E2">
        <v>0.29899999999999999</v>
      </c>
    </row>
    <row r="3" spans="1:5" x14ac:dyDescent="0.6">
      <c r="A3" s="3"/>
      <c r="B3" t="s">
        <v>7</v>
      </c>
      <c r="C3" s="2">
        <f t="shared" si="0"/>
        <v>1.9166666666666665</v>
      </c>
      <c r="D3">
        <v>0.156</v>
      </c>
      <c r="E3">
        <v>0.29899999999999999</v>
      </c>
    </row>
    <row r="4" spans="1:5" x14ac:dyDescent="0.6">
      <c r="A4" s="3"/>
      <c r="B4" t="s">
        <v>8</v>
      </c>
      <c r="C4" s="2">
        <f t="shared" si="0"/>
        <v>1.9290322580645161</v>
      </c>
      <c r="D4">
        <v>0.155</v>
      </c>
      <c r="E4">
        <v>0.29899999999999999</v>
      </c>
    </row>
    <row r="5" spans="1:5" x14ac:dyDescent="0.6">
      <c r="A5" s="3"/>
      <c r="B5" t="s">
        <v>9</v>
      </c>
      <c r="C5" s="2">
        <f t="shared" si="0"/>
        <v>2.0620689655172413</v>
      </c>
      <c r="D5">
        <v>0.14499999999999999</v>
      </c>
      <c r="E5">
        <v>0.29899999999999999</v>
      </c>
    </row>
    <row r="6" spans="1:5" x14ac:dyDescent="0.6">
      <c r="A6" s="3"/>
      <c r="B6" t="s">
        <v>10</v>
      </c>
      <c r="C6" s="2">
        <f t="shared" si="0"/>
        <v>2.2651515151515151</v>
      </c>
      <c r="D6">
        <v>0.13200000000000001</v>
      </c>
      <c r="E6">
        <v>0.29899999999999999</v>
      </c>
    </row>
    <row r="7" spans="1:5" x14ac:dyDescent="0.6">
      <c r="A7" s="3"/>
      <c r="B7" t="s">
        <v>11</v>
      </c>
      <c r="C7" s="2">
        <f t="shared" si="0"/>
        <v>2.9313725490196081</v>
      </c>
      <c r="D7">
        <v>0.10199999999999999</v>
      </c>
      <c r="E7">
        <v>0.29899999999999999</v>
      </c>
    </row>
    <row r="8" spans="1:5" x14ac:dyDescent="0.6">
      <c r="A8" s="3" t="s">
        <v>4</v>
      </c>
      <c r="B8" t="s">
        <v>12</v>
      </c>
      <c r="C8" s="2">
        <f t="shared" si="0"/>
        <v>1.5904255319148934</v>
      </c>
      <c r="D8">
        <v>0.188</v>
      </c>
      <c r="E8">
        <v>0.29899999999999999</v>
      </c>
    </row>
    <row r="9" spans="1:5" x14ac:dyDescent="0.6">
      <c r="A9" s="3"/>
      <c r="B9" t="s">
        <v>7</v>
      </c>
      <c r="C9" s="2">
        <f t="shared" si="0"/>
        <v>2.3919999999999999</v>
      </c>
      <c r="D9">
        <v>0.125</v>
      </c>
      <c r="E9">
        <v>0.29899999999999999</v>
      </c>
    </row>
    <row r="10" spans="1:5" x14ac:dyDescent="0.6">
      <c r="A10" s="3"/>
      <c r="B10" t="s">
        <v>8</v>
      </c>
      <c r="C10" s="2">
        <f t="shared" si="0"/>
        <v>2.9603960396039599</v>
      </c>
      <c r="D10">
        <v>0.10100000000000001</v>
      </c>
      <c r="E10">
        <v>0.29899999999999999</v>
      </c>
    </row>
    <row r="11" spans="1:5" x14ac:dyDescent="0.6">
      <c r="A11" s="3"/>
      <c r="B11" t="s">
        <v>9</v>
      </c>
      <c r="C11" s="2">
        <f t="shared" si="0"/>
        <v>2.5338983050847457</v>
      </c>
      <c r="D11">
        <v>0.11799999999999999</v>
      </c>
      <c r="E11">
        <v>0.29899999999999999</v>
      </c>
    </row>
    <row r="12" spans="1:5" x14ac:dyDescent="0.6">
      <c r="A12" s="3"/>
      <c r="B12" t="s">
        <v>10</v>
      </c>
      <c r="C12" s="2">
        <f t="shared" si="0"/>
        <v>2.7943925233644857</v>
      </c>
      <c r="D12">
        <v>0.107</v>
      </c>
      <c r="E12">
        <v>0.29899999999999999</v>
      </c>
    </row>
    <row r="13" spans="1:5" x14ac:dyDescent="0.6">
      <c r="A13" s="3"/>
      <c r="B13" t="s">
        <v>11</v>
      </c>
      <c r="C13" s="2">
        <f t="shared" si="0"/>
        <v>2.0067114093959733</v>
      </c>
      <c r="D13">
        <v>0.14899999999999999</v>
      </c>
      <c r="E13">
        <v>0.29899999999999999</v>
      </c>
    </row>
    <row r="14" spans="1:5" x14ac:dyDescent="0.6">
      <c r="A14" s="3" t="s">
        <v>5</v>
      </c>
      <c r="B14" t="s">
        <v>12</v>
      </c>
      <c r="C14" s="2">
        <f t="shared" si="0"/>
        <v>1.6703910614525139</v>
      </c>
      <c r="D14">
        <v>0.17899999999999999</v>
      </c>
      <c r="E14">
        <v>0.29899999999999999</v>
      </c>
    </row>
    <row r="15" spans="1:5" x14ac:dyDescent="0.6">
      <c r="A15" s="3"/>
      <c r="B15" t="s">
        <v>7</v>
      </c>
      <c r="C15" s="2">
        <f t="shared" si="0"/>
        <v>2.5555555555555554</v>
      </c>
      <c r="D15">
        <v>0.11700000000000001</v>
      </c>
      <c r="E15">
        <v>0.29899999999999999</v>
      </c>
    </row>
    <row r="16" spans="1:5" x14ac:dyDescent="0.6">
      <c r="A16" s="3"/>
      <c r="B16" t="s">
        <v>8</v>
      </c>
      <c r="C16" s="2">
        <f t="shared" si="0"/>
        <v>3.21505376344086</v>
      </c>
      <c r="D16">
        <v>9.2999999999999999E-2</v>
      </c>
      <c r="E16">
        <v>0.29899999999999999</v>
      </c>
    </row>
    <row r="17" spans="1:5" x14ac:dyDescent="0.6">
      <c r="A17" s="3"/>
      <c r="B17" t="s">
        <v>9</v>
      </c>
      <c r="C17" s="2">
        <f t="shared" si="0"/>
        <v>3.2857142857142856</v>
      </c>
      <c r="D17">
        <v>9.0999999999999998E-2</v>
      </c>
      <c r="E17">
        <v>0.29899999999999999</v>
      </c>
    </row>
    <row r="18" spans="1:5" x14ac:dyDescent="0.6">
      <c r="A18" s="3"/>
      <c r="B18" t="s">
        <v>10</v>
      </c>
      <c r="C18" s="2">
        <f t="shared" si="0"/>
        <v>3.5595238095238093</v>
      </c>
      <c r="D18">
        <v>8.4000000000000005E-2</v>
      </c>
      <c r="E18">
        <v>0.29899999999999999</v>
      </c>
    </row>
    <row r="19" spans="1:5" x14ac:dyDescent="0.6">
      <c r="A19" s="3"/>
      <c r="B19" t="s">
        <v>11</v>
      </c>
      <c r="C19" s="2">
        <f t="shared" si="0"/>
        <v>3.25</v>
      </c>
      <c r="D19">
        <v>9.1999999999999998E-2</v>
      </c>
      <c r="E19">
        <v>0.29899999999999999</v>
      </c>
    </row>
    <row r="20" spans="1:5" x14ac:dyDescent="0.6">
      <c r="A20" s="3" t="s">
        <v>6</v>
      </c>
      <c r="B20" t="s">
        <v>12</v>
      </c>
      <c r="C20" s="2">
        <f t="shared" si="0"/>
        <v>1.60752688172043</v>
      </c>
      <c r="D20">
        <v>0.186</v>
      </c>
      <c r="E20">
        <v>0.29899999999999999</v>
      </c>
    </row>
    <row r="21" spans="1:5" x14ac:dyDescent="0.6">
      <c r="A21" s="3"/>
      <c r="B21" t="s">
        <v>7</v>
      </c>
      <c r="C21" s="2">
        <f t="shared" si="0"/>
        <v>2.5338983050847457</v>
      </c>
      <c r="D21">
        <v>0.11799999999999999</v>
      </c>
      <c r="E21">
        <v>0.29899999999999999</v>
      </c>
    </row>
    <row r="22" spans="1:5" x14ac:dyDescent="0.6">
      <c r="A22" s="3"/>
      <c r="B22" t="s">
        <v>8</v>
      </c>
      <c r="C22" s="2">
        <f t="shared" si="0"/>
        <v>3.2857142857142856</v>
      </c>
      <c r="D22">
        <v>9.0999999999999998E-2</v>
      </c>
      <c r="E22">
        <v>0.29899999999999999</v>
      </c>
    </row>
    <row r="23" spans="1:5" x14ac:dyDescent="0.6">
      <c r="A23" s="3"/>
      <c r="B23" t="s">
        <v>9</v>
      </c>
      <c r="C23" s="2">
        <f t="shared" si="0"/>
        <v>3.4367816091954024</v>
      </c>
      <c r="D23">
        <v>8.6999999999999994E-2</v>
      </c>
      <c r="E23">
        <v>0.29899999999999999</v>
      </c>
    </row>
    <row r="24" spans="1:5" x14ac:dyDescent="0.6">
      <c r="A24" s="3"/>
      <c r="B24" t="s">
        <v>10</v>
      </c>
      <c r="C24" s="2">
        <f t="shared" si="0"/>
        <v>3.3977272727272729</v>
      </c>
      <c r="D24">
        <v>8.7999999999999995E-2</v>
      </c>
      <c r="E24">
        <v>0.29899999999999999</v>
      </c>
    </row>
    <row r="25" spans="1:5" x14ac:dyDescent="0.6">
      <c r="A25" s="3"/>
      <c r="B25" t="s">
        <v>11</v>
      </c>
      <c r="C25" s="2">
        <f t="shared" si="0"/>
        <v>3.3977272727272729</v>
      </c>
      <c r="D25">
        <v>8.7999999999999995E-2</v>
      </c>
      <c r="E25">
        <v>0.29899999999999999</v>
      </c>
    </row>
    <row r="26" spans="1:5" x14ac:dyDescent="0.6">
      <c r="A26" s="3" t="s">
        <v>2</v>
      </c>
      <c r="B26" t="s">
        <v>12</v>
      </c>
      <c r="C26" s="2">
        <f t="shared" si="0"/>
        <v>1.6703910614525139</v>
      </c>
      <c r="D26">
        <v>0.17899999999999999</v>
      </c>
      <c r="E26">
        <v>0.29899999999999999</v>
      </c>
    </row>
    <row r="27" spans="1:5" x14ac:dyDescent="0.6">
      <c r="A27" s="3"/>
      <c r="B27" t="s">
        <v>7</v>
      </c>
      <c r="C27" s="2">
        <f t="shared" si="0"/>
        <v>2.5126050420168067</v>
      </c>
      <c r="D27">
        <v>0.11899999999999999</v>
      </c>
      <c r="E27">
        <v>0.29899999999999999</v>
      </c>
    </row>
    <row r="28" spans="1:5" x14ac:dyDescent="0.6">
      <c r="A28" s="3"/>
      <c r="B28" t="s">
        <v>8</v>
      </c>
      <c r="C28" s="2">
        <f t="shared" si="0"/>
        <v>3.3595505617977528</v>
      </c>
      <c r="D28">
        <v>8.8999999999999996E-2</v>
      </c>
      <c r="E28">
        <v>0.29899999999999999</v>
      </c>
    </row>
    <row r="29" spans="1:5" x14ac:dyDescent="0.6">
      <c r="A29" s="3"/>
      <c r="B29" t="s">
        <v>9</v>
      </c>
      <c r="C29" s="2">
        <f t="shared" si="0"/>
        <v>3.5176470588235289</v>
      </c>
      <c r="D29">
        <v>8.5000000000000006E-2</v>
      </c>
      <c r="E29">
        <v>0.29899999999999999</v>
      </c>
    </row>
    <row r="30" spans="1:5" x14ac:dyDescent="0.6">
      <c r="A30" s="3"/>
      <c r="B30" t="s">
        <v>10</v>
      </c>
      <c r="C30" s="2">
        <f t="shared" si="0"/>
        <v>3.7848101265822782</v>
      </c>
      <c r="D30">
        <v>7.9000000000000001E-2</v>
      </c>
      <c r="E30">
        <v>0.29899999999999999</v>
      </c>
    </row>
    <row r="31" spans="1:5" x14ac:dyDescent="0.6">
      <c r="A31" s="3"/>
      <c r="B31" t="s">
        <v>11</v>
      </c>
      <c r="C31" s="2">
        <f t="shared" si="0"/>
        <v>3.4367816091954024</v>
      </c>
      <c r="D31">
        <v>8.6999999999999994E-2</v>
      </c>
      <c r="E31">
        <v>0.29899999999999999</v>
      </c>
    </row>
    <row r="32" spans="1:5" x14ac:dyDescent="0.6">
      <c r="A32" s="1"/>
    </row>
    <row r="33" spans="1:1" x14ac:dyDescent="0.6">
      <c r="A33" s="1"/>
    </row>
    <row r="34" spans="1:1" x14ac:dyDescent="0.6">
      <c r="A34" s="1"/>
    </row>
    <row r="35" spans="1:1" x14ac:dyDescent="0.6">
      <c r="A35" s="1"/>
    </row>
    <row r="36" spans="1:1" x14ac:dyDescent="0.6">
      <c r="A36" s="1"/>
    </row>
  </sheetData>
  <mergeCells count="5">
    <mergeCell ref="A8:A13"/>
    <mergeCell ref="A14:A19"/>
    <mergeCell ref="A20:A25"/>
    <mergeCell ref="A26:A31"/>
    <mergeCell ref="A2:A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313F-631A-4907-A1EB-8218A1B5DDDC}">
  <dimension ref="A1:E36"/>
  <sheetViews>
    <sheetView workbookViewId="0">
      <selection activeCell="A26" sqref="A26:A31"/>
    </sheetView>
  </sheetViews>
  <sheetFormatPr defaultRowHeight="18" x14ac:dyDescent="0.6"/>
  <cols>
    <col min="1" max="1" width="14.375" bestFit="1" customWidth="1"/>
    <col min="3" max="4" width="14.3125" bestFit="1" customWidth="1"/>
  </cols>
  <sheetData>
    <row r="1" spans="1:5" x14ac:dyDescent="0.6">
      <c r="A1" t="s">
        <v>0</v>
      </c>
      <c r="B1" t="s">
        <v>1</v>
      </c>
      <c r="C1" t="s">
        <v>13</v>
      </c>
      <c r="D1" t="s">
        <v>14</v>
      </c>
      <c r="E1" t="s">
        <v>15</v>
      </c>
    </row>
    <row r="2" spans="1:5" x14ac:dyDescent="0.6">
      <c r="A2" s="3" t="s">
        <v>3</v>
      </c>
      <c r="B2" t="s">
        <v>12</v>
      </c>
      <c r="C2" s="2">
        <f t="shared" ref="C2:C31" si="0">E2/D2</f>
        <v>1.4196217494089836</v>
      </c>
      <c r="D2">
        <v>0.84599999999999997</v>
      </c>
      <c r="E2">
        <v>1.2010000000000001</v>
      </c>
    </row>
    <row r="3" spans="1:5" x14ac:dyDescent="0.6">
      <c r="A3" s="3"/>
      <c r="B3" t="s">
        <v>7</v>
      </c>
      <c r="C3" s="2">
        <f t="shared" si="0"/>
        <v>1.8392036753445635</v>
      </c>
      <c r="D3">
        <v>0.65300000000000002</v>
      </c>
      <c r="E3">
        <v>1.2010000000000001</v>
      </c>
    </row>
    <row r="4" spans="1:5" x14ac:dyDescent="0.6">
      <c r="A4" s="3"/>
      <c r="B4" t="s">
        <v>8</v>
      </c>
      <c r="C4" s="2">
        <f t="shared" si="0"/>
        <v>2.2036697247706423</v>
      </c>
      <c r="D4">
        <v>0.54500000000000004</v>
      </c>
      <c r="E4">
        <v>1.2010000000000001</v>
      </c>
    </row>
    <row r="5" spans="1:5" x14ac:dyDescent="0.6">
      <c r="A5" s="3"/>
      <c r="B5" t="s">
        <v>9</v>
      </c>
      <c r="C5" s="2">
        <f t="shared" si="0"/>
        <v>2.5020833333333337</v>
      </c>
      <c r="D5">
        <v>0.48</v>
      </c>
      <c r="E5">
        <v>1.2010000000000001</v>
      </c>
    </row>
    <row r="6" spans="1:5" x14ac:dyDescent="0.6">
      <c r="A6" s="3"/>
      <c r="B6" t="s">
        <v>10</v>
      </c>
      <c r="C6" s="2">
        <f t="shared" si="0"/>
        <v>2.517819706498952</v>
      </c>
      <c r="D6">
        <v>0.47699999999999998</v>
      </c>
      <c r="E6">
        <v>1.2010000000000001</v>
      </c>
    </row>
    <row r="7" spans="1:5" x14ac:dyDescent="0.6">
      <c r="A7" s="3"/>
      <c r="B7" t="s">
        <v>11</v>
      </c>
      <c r="C7" s="2">
        <f t="shared" si="0"/>
        <v>2.8258823529411767</v>
      </c>
      <c r="D7">
        <v>0.42499999999999999</v>
      </c>
      <c r="E7">
        <v>1.2010000000000001</v>
      </c>
    </row>
    <row r="8" spans="1:5" x14ac:dyDescent="0.6">
      <c r="A8" s="3" t="s">
        <v>4</v>
      </c>
      <c r="B8" t="s">
        <v>12</v>
      </c>
      <c r="C8" s="2">
        <f t="shared" si="0"/>
        <v>1.50125</v>
      </c>
      <c r="D8">
        <v>0.8</v>
      </c>
      <c r="E8">
        <v>1.2010000000000001</v>
      </c>
    </row>
    <row r="9" spans="1:5" x14ac:dyDescent="0.6">
      <c r="A9" s="3"/>
      <c r="B9" t="s">
        <v>7</v>
      </c>
      <c r="C9" s="2">
        <f t="shared" si="0"/>
        <v>2.1916058394160585</v>
      </c>
      <c r="D9">
        <v>0.54800000000000004</v>
      </c>
      <c r="E9">
        <v>1.2010000000000001</v>
      </c>
    </row>
    <row r="10" spans="1:5" x14ac:dyDescent="0.6">
      <c r="A10" s="3"/>
      <c r="B10" t="s">
        <v>8</v>
      </c>
      <c r="C10" s="2">
        <f t="shared" si="0"/>
        <v>2.7545871559633031</v>
      </c>
      <c r="D10">
        <v>0.436</v>
      </c>
      <c r="E10">
        <v>1.2010000000000001</v>
      </c>
    </row>
    <row r="11" spans="1:5" x14ac:dyDescent="0.6">
      <c r="A11" s="3"/>
      <c r="B11" t="s">
        <v>9</v>
      </c>
      <c r="C11" s="2">
        <f t="shared" si="0"/>
        <v>2.7357630979498864</v>
      </c>
      <c r="D11">
        <v>0.439</v>
      </c>
      <c r="E11">
        <v>1.2010000000000001</v>
      </c>
    </row>
    <row r="12" spans="1:5" x14ac:dyDescent="0.6">
      <c r="A12" s="3"/>
      <c r="B12" t="s">
        <v>10</v>
      </c>
      <c r="C12" s="2">
        <f t="shared" si="0"/>
        <v>2.6280087527352296</v>
      </c>
      <c r="D12">
        <v>0.45700000000000002</v>
      </c>
      <c r="E12">
        <v>1.2010000000000001</v>
      </c>
    </row>
    <row r="13" spans="1:5" x14ac:dyDescent="0.6">
      <c r="A13" s="3"/>
      <c r="B13" t="s">
        <v>11</v>
      </c>
      <c r="C13" s="2">
        <f t="shared" si="0"/>
        <v>2.4762886597938145</v>
      </c>
      <c r="D13">
        <v>0.48499999999999999</v>
      </c>
      <c r="E13">
        <v>1.2010000000000001</v>
      </c>
    </row>
    <row r="14" spans="1:5" x14ac:dyDescent="0.6">
      <c r="A14" s="3" t="s">
        <v>5</v>
      </c>
      <c r="B14" t="s">
        <v>12</v>
      </c>
      <c r="C14" s="2">
        <f t="shared" si="0"/>
        <v>1.5299363057324842</v>
      </c>
      <c r="D14">
        <v>0.78500000000000003</v>
      </c>
      <c r="E14">
        <v>1.2010000000000001</v>
      </c>
    </row>
    <row r="15" spans="1:5" x14ac:dyDescent="0.6">
      <c r="A15" s="3"/>
      <c r="B15" t="s">
        <v>7</v>
      </c>
      <c r="C15" s="2">
        <f t="shared" si="0"/>
        <v>1.9656301145662849</v>
      </c>
      <c r="D15">
        <v>0.61099999999999999</v>
      </c>
      <c r="E15">
        <v>1.2010000000000001</v>
      </c>
    </row>
    <row r="16" spans="1:5" x14ac:dyDescent="0.6">
      <c r="A16" s="3"/>
      <c r="B16" t="s">
        <v>8</v>
      </c>
      <c r="C16" s="2">
        <f t="shared" si="0"/>
        <v>2.5553191489361704</v>
      </c>
      <c r="D16">
        <v>0.47</v>
      </c>
      <c r="E16">
        <v>1.2010000000000001</v>
      </c>
    </row>
    <row r="17" spans="1:5" x14ac:dyDescent="0.6">
      <c r="A17" s="3"/>
      <c r="B17" t="s">
        <v>9</v>
      </c>
      <c r="C17" s="2">
        <f t="shared" si="0"/>
        <v>2.8870192307692313</v>
      </c>
      <c r="D17">
        <v>0.41599999999999998</v>
      </c>
      <c r="E17">
        <v>1.2010000000000001</v>
      </c>
    </row>
    <row r="18" spans="1:5" x14ac:dyDescent="0.6">
      <c r="A18" s="3"/>
      <c r="B18" t="s">
        <v>10</v>
      </c>
      <c r="C18" s="2">
        <f t="shared" si="0"/>
        <v>2.8870192307692313</v>
      </c>
      <c r="D18">
        <v>0.41599999999999998</v>
      </c>
      <c r="E18">
        <v>1.2010000000000001</v>
      </c>
    </row>
    <row r="19" spans="1:5" x14ac:dyDescent="0.6">
      <c r="A19" s="3"/>
      <c r="B19" t="s">
        <v>11</v>
      </c>
      <c r="C19" s="2">
        <f t="shared" si="0"/>
        <v>3.0953608247422681</v>
      </c>
      <c r="D19">
        <v>0.38800000000000001</v>
      </c>
      <c r="E19">
        <v>1.2010000000000001</v>
      </c>
    </row>
    <row r="20" spans="1:5" x14ac:dyDescent="0.6">
      <c r="A20" s="3" t="s">
        <v>6</v>
      </c>
      <c r="B20" t="s">
        <v>12</v>
      </c>
      <c r="C20" s="2">
        <f t="shared" si="0"/>
        <v>1.455757575757576</v>
      </c>
      <c r="D20">
        <v>0.82499999999999996</v>
      </c>
      <c r="E20">
        <v>1.2010000000000001</v>
      </c>
    </row>
    <row r="21" spans="1:5" x14ac:dyDescent="0.6">
      <c r="A21" s="3"/>
      <c r="B21" t="s">
        <v>7</v>
      </c>
      <c r="C21" s="2">
        <f t="shared" si="0"/>
        <v>2.2240740740740739</v>
      </c>
      <c r="D21">
        <v>0.54</v>
      </c>
      <c r="E21">
        <v>1.2010000000000001</v>
      </c>
    </row>
    <row r="22" spans="1:5" x14ac:dyDescent="0.6">
      <c r="A22" s="3"/>
      <c r="B22" t="s">
        <v>8</v>
      </c>
      <c r="C22" s="2">
        <f t="shared" si="0"/>
        <v>2.7995337995337999</v>
      </c>
      <c r="D22">
        <v>0.42899999999999999</v>
      </c>
      <c r="E22">
        <v>1.2010000000000001</v>
      </c>
    </row>
    <row r="23" spans="1:5" x14ac:dyDescent="0.6">
      <c r="A23" s="3"/>
      <c r="B23" t="s">
        <v>9</v>
      </c>
      <c r="C23" s="2">
        <f t="shared" si="0"/>
        <v>2.9221411192214117</v>
      </c>
      <c r="D23">
        <v>0.41099999999999998</v>
      </c>
      <c r="E23">
        <v>1.2010000000000001</v>
      </c>
    </row>
    <row r="24" spans="1:5" x14ac:dyDescent="0.6">
      <c r="A24" s="3"/>
      <c r="B24" t="s">
        <v>10</v>
      </c>
      <c r="C24" s="2">
        <f t="shared" si="0"/>
        <v>3.0953608247422681</v>
      </c>
      <c r="D24">
        <v>0.38800000000000001</v>
      </c>
      <c r="E24">
        <v>1.2010000000000001</v>
      </c>
    </row>
    <row r="25" spans="1:5" x14ac:dyDescent="0.6">
      <c r="A25" s="3"/>
      <c r="B25" t="s">
        <v>11</v>
      </c>
      <c r="C25" s="2">
        <f t="shared" si="0"/>
        <v>2.9801488833746896</v>
      </c>
      <c r="D25">
        <v>0.40300000000000002</v>
      </c>
      <c r="E25">
        <v>1.2010000000000001</v>
      </c>
    </row>
    <row r="26" spans="1:5" x14ac:dyDescent="0.6">
      <c r="A26" s="3" t="s">
        <v>2</v>
      </c>
      <c r="B26" t="s">
        <v>12</v>
      </c>
      <c r="C26" s="2">
        <f t="shared" si="0"/>
        <v>1.5678851174934727</v>
      </c>
      <c r="D26">
        <v>0.76600000000000001</v>
      </c>
      <c r="E26">
        <v>1.2010000000000001</v>
      </c>
    </row>
    <row r="27" spans="1:5" x14ac:dyDescent="0.6">
      <c r="A27" s="3"/>
      <c r="B27" t="s">
        <v>7</v>
      </c>
      <c r="C27" s="2">
        <f t="shared" si="0"/>
        <v>2.2876190476190477</v>
      </c>
      <c r="D27">
        <v>0.52500000000000002</v>
      </c>
      <c r="E27">
        <v>1.2010000000000001</v>
      </c>
    </row>
    <row r="28" spans="1:5" x14ac:dyDescent="0.6">
      <c r="A28" s="3"/>
      <c r="B28" t="s">
        <v>8</v>
      </c>
      <c r="C28" s="2">
        <f t="shared" si="0"/>
        <v>2.9801488833746896</v>
      </c>
      <c r="D28">
        <v>0.40300000000000002</v>
      </c>
      <c r="E28">
        <v>1.2010000000000001</v>
      </c>
    </row>
    <row r="29" spans="1:5" x14ac:dyDescent="0.6">
      <c r="A29" s="3"/>
      <c r="B29" t="s">
        <v>9</v>
      </c>
      <c r="C29" s="2">
        <f t="shared" si="0"/>
        <v>3.2547425474254745</v>
      </c>
      <c r="D29">
        <v>0.36899999999999999</v>
      </c>
      <c r="E29">
        <v>1.2010000000000001</v>
      </c>
    </row>
    <row r="30" spans="1:5" x14ac:dyDescent="0.6">
      <c r="A30" s="3"/>
      <c r="B30" t="s">
        <v>10</v>
      </c>
      <c r="C30" s="2">
        <f t="shared" si="0"/>
        <v>3.0175879396984926</v>
      </c>
      <c r="D30">
        <v>0.39800000000000002</v>
      </c>
      <c r="E30">
        <v>1.2010000000000001</v>
      </c>
    </row>
    <row r="31" spans="1:5" x14ac:dyDescent="0.6">
      <c r="A31" s="3"/>
      <c r="B31" t="s">
        <v>11</v>
      </c>
      <c r="C31" s="2">
        <f t="shared" si="0"/>
        <v>3.202666666666667</v>
      </c>
      <c r="D31">
        <v>0.375</v>
      </c>
      <c r="E31">
        <v>1.2010000000000001</v>
      </c>
    </row>
    <row r="32" spans="1:5" x14ac:dyDescent="0.6">
      <c r="A32" s="1"/>
    </row>
    <row r="33" spans="1:1" x14ac:dyDescent="0.6">
      <c r="A33" s="1"/>
    </row>
    <row r="34" spans="1:1" x14ac:dyDescent="0.6">
      <c r="A34" s="1"/>
    </row>
    <row r="35" spans="1:1" x14ac:dyDescent="0.6">
      <c r="A35" s="1"/>
    </row>
    <row r="36" spans="1:1" x14ac:dyDescent="0.6">
      <c r="A36" s="1"/>
    </row>
  </sheetData>
  <mergeCells count="5">
    <mergeCell ref="A8:A13"/>
    <mergeCell ref="A14:A19"/>
    <mergeCell ref="A20:A25"/>
    <mergeCell ref="A26:A31"/>
    <mergeCell ref="A2:A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E61E-4907-434A-9488-108C8AF8A821}">
  <dimension ref="A1:E36"/>
  <sheetViews>
    <sheetView topLeftCell="B1" workbookViewId="0">
      <selection activeCell="A26" sqref="A26:A31"/>
    </sheetView>
  </sheetViews>
  <sheetFormatPr defaultRowHeight="18" x14ac:dyDescent="0.6"/>
  <cols>
    <col min="1" max="1" width="14.375" bestFit="1" customWidth="1"/>
    <col min="3" max="4" width="14.3125" bestFit="1" customWidth="1"/>
  </cols>
  <sheetData>
    <row r="1" spans="1:5" x14ac:dyDescent="0.6">
      <c r="A1" t="s">
        <v>0</v>
      </c>
      <c r="B1" t="s">
        <v>1</v>
      </c>
      <c r="C1" t="s">
        <v>13</v>
      </c>
      <c r="D1" t="s">
        <v>14</v>
      </c>
      <c r="E1" t="s">
        <v>15</v>
      </c>
    </row>
    <row r="2" spans="1:5" x14ac:dyDescent="0.6">
      <c r="A2" s="3" t="s">
        <v>3</v>
      </c>
      <c r="B2" t="s">
        <v>12</v>
      </c>
      <c r="C2" s="2">
        <f t="shared" ref="C2:C31" si="0">E2/D2</f>
        <v>1.140495867768595</v>
      </c>
      <c r="D2">
        <v>1.694</v>
      </c>
      <c r="E2">
        <v>1.9319999999999999</v>
      </c>
    </row>
    <row r="3" spans="1:5" x14ac:dyDescent="0.6">
      <c r="A3" s="3"/>
      <c r="B3" t="s">
        <v>7</v>
      </c>
      <c r="C3" s="2">
        <f t="shared" si="0"/>
        <v>1.7097345132743365</v>
      </c>
      <c r="D3">
        <v>1.1299999999999999</v>
      </c>
      <c r="E3">
        <v>1.9319999999999999</v>
      </c>
    </row>
    <row r="4" spans="1:5" x14ac:dyDescent="0.6">
      <c r="A4" s="3"/>
      <c r="B4" t="s">
        <v>8</v>
      </c>
      <c r="C4" s="2">
        <f t="shared" si="0"/>
        <v>2.4580152671755724</v>
      </c>
      <c r="D4">
        <v>0.78600000000000003</v>
      </c>
      <c r="E4">
        <v>1.9319999999999999</v>
      </c>
    </row>
    <row r="5" spans="1:5" x14ac:dyDescent="0.6">
      <c r="A5" s="3"/>
      <c r="B5" t="s">
        <v>9</v>
      </c>
      <c r="C5" s="2">
        <f t="shared" si="0"/>
        <v>2.8835820895522386</v>
      </c>
      <c r="D5">
        <v>0.67</v>
      </c>
      <c r="E5">
        <v>1.9319999999999999</v>
      </c>
    </row>
    <row r="6" spans="1:5" x14ac:dyDescent="0.6">
      <c r="A6" s="3"/>
      <c r="B6" t="s">
        <v>10</v>
      </c>
      <c r="C6" s="2">
        <f t="shared" si="0"/>
        <v>3.0377358490566038</v>
      </c>
      <c r="D6">
        <v>0.63600000000000001</v>
      </c>
      <c r="E6">
        <v>1.9319999999999999</v>
      </c>
    </row>
    <row r="7" spans="1:5" x14ac:dyDescent="0.6">
      <c r="A7" s="3"/>
      <c r="B7" t="s">
        <v>11</v>
      </c>
      <c r="C7" s="2">
        <f t="shared" si="0"/>
        <v>2.7959479015918958</v>
      </c>
      <c r="D7">
        <v>0.69099999999999995</v>
      </c>
      <c r="E7">
        <v>1.9319999999999999</v>
      </c>
    </row>
    <row r="8" spans="1:5" x14ac:dyDescent="0.6">
      <c r="A8" s="3" t="s">
        <v>4</v>
      </c>
      <c r="B8" t="s">
        <v>12</v>
      </c>
      <c r="C8" s="2">
        <f t="shared" si="0"/>
        <v>1.2957746478873238</v>
      </c>
      <c r="D8">
        <v>1.4910000000000001</v>
      </c>
      <c r="E8">
        <v>1.9319999999999999</v>
      </c>
    </row>
    <row r="9" spans="1:5" x14ac:dyDescent="0.6">
      <c r="A9" s="3"/>
      <c r="B9" t="s">
        <v>7</v>
      </c>
      <c r="C9" s="2">
        <f t="shared" si="0"/>
        <v>2.037974683544304</v>
      </c>
      <c r="D9">
        <v>0.94799999999999995</v>
      </c>
      <c r="E9">
        <v>1.9319999999999999</v>
      </c>
    </row>
    <row r="10" spans="1:5" x14ac:dyDescent="0.6">
      <c r="A10" s="3"/>
      <c r="B10" t="s">
        <v>8</v>
      </c>
      <c r="C10" s="2">
        <f t="shared" si="0"/>
        <v>2.949618320610687</v>
      </c>
      <c r="D10">
        <v>0.65500000000000003</v>
      </c>
      <c r="E10">
        <v>1.9319999999999999</v>
      </c>
    </row>
    <row r="11" spans="1:5" x14ac:dyDescent="0.6">
      <c r="A11" s="3"/>
      <c r="B11" t="s">
        <v>9</v>
      </c>
      <c r="C11" s="2">
        <f t="shared" si="0"/>
        <v>3.1061093247588425</v>
      </c>
      <c r="D11">
        <v>0.622</v>
      </c>
      <c r="E11">
        <v>1.9319999999999999</v>
      </c>
    </row>
    <row r="12" spans="1:5" x14ac:dyDescent="0.6">
      <c r="A12" s="3"/>
      <c r="B12" t="s">
        <v>10</v>
      </c>
      <c r="C12" s="2">
        <f t="shared" si="0"/>
        <v>3.0140405616224646</v>
      </c>
      <c r="D12">
        <v>0.64100000000000001</v>
      </c>
      <c r="E12">
        <v>1.9319999999999999</v>
      </c>
    </row>
    <row r="13" spans="1:5" x14ac:dyDescent="0.6">
      <c r="A13" s="3"/>
      <c r="B13" t="s">
        <v>11</v>
      </c>
      <c r="C13" s="2">
        <f t="shared" si="0"/>
        <v>2.8000000000000003</v>
      </c>
      <c r="D13">
        <v>0.69</v>
      </c>
      <c r="E13">
        <v>1.9319999999999999</v>
      </c>
    </row>
    <row r="14" spans="1:5" x14ac:dyDescent="0.6">
      <c r="A14" s="3" t="s">
        <v>5</v>
      </c>
      <c r="B14" t="s">
        <v>12</v>
      </c>
      <c r="C14" s="2">
        <f t="shared" si="0"/>
        <v>1.3269230769230769</v>
      </c>
      <c r="D14">
        <v>1.456</v>
      </c>
      <c r="E14">
        <v>1.9319999999999999</v>
      </c>
    </row>
    <row r="15" spans="1:5" x14ac:dyDescent="0.6">
      <c r="A15" s="3"/>
      <c r="B15" t="s">
        <v>7</v>
      </c>
      <c r="C15" s="2">
        <f t="shared" si="0"/>
        <v>2.0125000000000002</v>
      </c>
      <c r="D15">
        <v>0.96</v>
      </c>
      <c r="E15">
        <v>1.9319999999999999</v>
      </c>
    </row>
    <row r="16" spans="1:5" x14ac:dyDescent="0.6">
      <c r="A16" s="3"/>
      <c r="B16" t="s">
        <v>8</v>
      </c>
      <c r="C16" s="2">
        <f t="shared" si="0"/>
        <v>2.7959479015918958</v>
      </c>
      <c r="D16">
        <v>0.69099999999999995</v>
      </c>
      <c r="E16">
        <v>1.9319999999999999</v>
      </c>
    </row>
    <row r="17" spans="1:5" x14ac:dyDescent="0.6">
      <c r="A17" s="3"/>
      <c r="B17" t="s">
        <v>9</v>
      </c>
      <c r="C17" s="2">
        <f t="shared" si="0"/>
        <v>3.0377358490566038</v>
      </c>
      <c r="D17">
        <v>0.63600000000000001</v>
      </c>
      <c r="E17">
        <v>1.9319999999999999</v>
      </c>
    </row>
    <row r="18" spans="1:5" x14ac:dyDescent="0.6">
      <c r="A18" s="3"/>
      <c r="B18" t="s">
        <v>10</v>
      </c>
      <c r="C18" s="2">
        <f t="shared" si="0"/>
        <v>2.9631901840490795</v>
      </c>
      <c r="D18">
        <v>0.65200000000000002</v>
      </c>
      <c r="E18">
        <v>1.9319999999999999</v>
      </c>
    </row>
    <row r="19" spans="1:5" x14ac:dyDescent="0.6">
      <c r="A19" s="3"/>
      <c r="B19" t="s">
        <v>11</v>
      </c>
      <c r="C19" s="2">
        <f t="shared" si="0"/>
        <v>2.7679083094555876</v>
      </c>
      <c r="D19">
        <v>0.69799999999999995</v>
      </c>
      <c r="E19">
        <v>1.9319999999999999</v>
      </c>
    </row>
    <row r="20" spans="1:5" x14ac:dyDescent="0.6">
      <c r="A20" s="3" t="s">
        <v>6</v>
      </c>
      <c r="B20" t="s">
        <v>12</v>
      </c>
      <c r="C20" s="2">
        <f t="shared" si="0"/>
        <v>1.3510489510489512</v>
      </c>
      <c r="D20">
        <v>1.43</v>
      </c>
      <c r="E20">
        <v>1.9319999999999999</v>
      </c>
    </row>
    <row r="21" spans="1:5" x14ac:dyDescent="0.6">
      <c r="A21" s="3"/>
      <c r="B21" t="s">
        <v>7</v>
      </c>
      <c r="C21" s="2">
        <f t="shared" si="0"/>
        <v>2.4271356783919598</v>
      </c>
      <c r="D21">
        <v>0.79600000000000004</v>
      </c>
      <c r="E21">
        <v>1.9319999999999999</v>
      </c>
    </row>
    <row r="22" spans="1:5" x14ac:dyDescent="0.6">
      <c r="A22" s="3"/>
      <c r="B22" t="s">
        <v>8</v>
      </c>
      <c r="C22" s="2">
        <f t="shared" si="0"/>
        <v>3.0425196850393701</v>
      </c>
      <c r="D22">
        <v>0.63500000000000001</v>
      </c>
      <c r="E22">
        <v>1.9319999999999999</v>
      </c>
    </row>
    <row r="23" spans="1:5" x14ac:dyDescent="0.6">
      <c r="A23" s="3"/>
      <c r="B23" t="s">
        <v>9</v>
      </c>
      <c r="C23" s="2">
        <f t="shared" si="0"/>
        <v>3.22</v>
      </c>
      <c r="D23">
        <v>0.6</v>
      </c>
      <c r="E23">
        <v>1.9319999999999999</v>
      </c>
    </row>
    <row r="24" spans="1:5" x14ac:dyDescent="0.6">
      <c r="A24" s="3"/>
      <c r="B24" t="s">
        <v>10</v>
      </c>
      <c r="C24" s="2">
        <f t="shared" si="0"/>
        <v>3.0764331210191083</v>
      </c>
      <c r="D24">
        <v>0.628</v>
      </c>
      <c r="E24">
        <v>1.9319999999999999</v>
      </c>
    </row>
    <row r="25" spans="1:5" x14ac:dyDescent="0.6">
      <c r="A25" s="3"/>
      <c r="B25" t="s">
        <v>11</v>
      </c>
      <c r="C25" s="2">
        <f t="shared" si="0"/>
        <v>2.9272727272727272</v>
      </c>
      <c r="D25">
        <v>0.66</v>
      </c>
      <c r="E25">
        <v>1.9319999999999999</v>
      </c>
    </row>
    <row r="26" spans="1:5" x14ac:dyDescent="0.6">
      <c r="A26" s="3" t="s">
        <v>2</v>
      </c>
      <c r="B26" t="s">
        <v>12</v>
      </c>
      <c r="C26" s="2">
        <f t="shared" si="0"/>
        <v>1.4020319303338171</v>
      </c>
      <c r="D26">
        <v>1.3779999999999999</v>
      </c>
      <c r="E26">
        <v>1.9319999999999999</v>
      </c>
    </row>
    <row r="27" spans="1:5" x14ac:dyDescent="0.6">
      <c r="A27" s="3"/>
      <c r="B27" t="s">
        <v>7</v>
      </c>
      <c r="C27" s="2">
        <f t="shared" si="0"/>
        <v>2.5090909090909088</v>
      </c>
      <c r="D27">
        <v>0.77</v>
      </c>
      <c r="E27">
        <v>1.9319999999999999</v>
      </c>
    </row>
    <row r="28" spans="1:5" x14ac:dyDescent="0.6">
      <c r="A28" s="3"/>
      <c r="B28" t="s">
        <v>8</v>
      </c>
      <c r="C28" s="2">
        <f t="shared" si="0"/>
        <v>3.5063520871143372</v>
      </c>
      <c r="D28">
        <v>0.55100000000000005</v>
      </c>
      <c r="E28">
        <v>1.9319999999999999</v>
      </c>
    </row>
    <row r="29" spans="1:5" x14ac:dyDescent="0.6">
      <c r="A29" s="3"/>
      <c r="B29" t="s">
        <v>9</v>
      </c>
      <c r="C29" s="2">
        <f t="shared" si="0"/>
        <v>3.5777777777777775</v>
      </c>
      <c r="D29">
        <v>0.54</v>
      </c>
      <c r="E29">
        <v>1.9319999999999999</v>
      </c>
    </row>
    <row r="30" spans="1:5" x14ac:dyDescent="0.6">
      <c r="A30" s="3"/>
      <c r="B30" t="s">
        <v>10</v>
      </c>
      <c r="C30" s="2">
        <f t="shared" si="0"/>
        <v>3.3894736842105266</v>
      </c>
      <c r="D30">
        <v>0.56999999999999995</v>
      </c>
      <c r="E30">
        <v>1.9319999999999999</v>
      </c>
    </row>
    <row r="31" spans="1:5" x14ac:dyDescent="0.6">
      <c r="A31" s="3"/>
      <c r="B31" t="s">
        <v>11</v>
      </c>
      <c r="C31" s="2">
        <f t="shared" si="0"/>
        <v>3.1986754966887418</v>
      </c>
      <c r="D31">
        <v>0.60399999999999998</v>
      </c>
      <c r="E31">
        <v>1.9319999999999999</v>
      </c>
    </row>
    <row r="32" spans="1:5" x14ac:dyDescent="0.6">
      <c r="A32" s="1"/>
    </row>
    <row r="33" spans="1:1" x14ac:dyDescent="0.6">
      <c r="A33" s="1"/>
    </row>
    <row r="34" spans="1:1" x14ac:dyDescent="0.6">
      <c r="A34" s="1"/>
    </row>
    <row r="35" spans="1:1" x14ac:dyDescent="0.6">
      <c r="A35" s="1"/>
    </row>
    <row r="36" spans="1:1" x14ac:dyDescent="0.6">
      <c r="A36" s="1"/>
    </row>
  </sheetData>
  <mergeCells count="5">
    <mergeCell ref="A8:A13"/>
    <mergeCell ref="A14:A19"/>
    <mergeCell ref="A20:A25"/>
    <mergeCell ref="A26:A31"/>
    <mergeCell ref="A2:A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9B40-FC9B-449A-8E03-90E042A77864}">
  <dimension ref="A1:E36"/>
  <sheetViews>
    <sheetView zoomScale="85" zoomScaleNormal="85" workbookViewId="0">
      <selection activeCell="C30" sqref="C30"/>
    </sheetView>
  </sheetViews>
  <sheetFormatPr defaultRowHeight="18" x14ac:dyDescent="0.6"/>
  <cols>
    <col min="1" max="1" width="14.375" bestFit="1" customWidth="1"/>
    <col min="3" max="3" width="7.75" customWidth="1"/>
    <col min="4" max="4" width="8.625" customWidth="1"/>
    <col min="5" max="5" width="7.625" customWidth="1"/>
  </cols>
  <sheetData>
    <row r="1" spans="1:5" x14ac:dyDescent="0.6">
      <c r="A1" t="s">
        <v>0</v>
      </c>
      <c r="B1" t="s">
        <v>1</v>
      </c>
      <c r="C1" t="s">
        <v>13</v>
      </c>
      <c r="D1" t="s">
        <v>14</v>
      </c>
      <c r="E1" t="s">
        <v>15</v>
      </c>
    </row>
    <row r="2" spans="1:5" x14ac:dyDescent="0.6">
      <c r="A2" s="3" t="s">
        <v>3</v>
      </c>
      <c r="B2" t="s">
        <v>12</v>
      </c>
      <c r="C2" s="2">
        <f t="shared" ref="C2:C31" si="0">E2/D2</f>
        <v>1.0508343034536283</v>
      </c>
      <c r="D2">
        <v>7.7309999999999999</v>
      </c>
      <c r="E2">
        <v>8.1240000000000006</v>
      </c>
    </row>
    <row r="3" spans="1:5" x14ac:dyDescent="0.6">
      <c r="A3" s="3"/>
      <c r="B3" t="s">
        <v>7</v>
      </c>
      <c r="C3" s="2">
        <f t="shared" si="0"/>
        <v>1.8836076976582428</v>
      </c>
      <c r="D3">
        <v>4.3129999999999997</v>
      </c>
      <c r="E3">
        <v>8.1240000000000006</v>
      </c>
    </row>
    <row r="4" spans="1:5" x14ac:dyDescent="0.6">
      <c r="A4" s="3"/>
      <c r="B4" t="s">
        <v>8</v>
      </c>
      <c r="C4" s="2">
        <f t="shared" si="0"/>
        <v>2.8972895863052783</v>
      </c>
      <c r="D4">
        <v>2.8039999999999998</v>
      </c>
      <c r="E4">
        <v>8.1240000000000006</v>
      </c>
    </row>
    <row r="5" spans="1:5" x14ac:dyDescent="0.6">
      <c r="A5" s="3"/>
      <c r="B5" t="s">
        <v>9</v>
      </c>
      <c r="C5" s="2">
        <f t="shared" si="0"/>
        <v>4.3143919277748273</v>
      </c>
      <c r="D5">
        <v>1.883</v>
      </c>
      <c r="E5">
        <v>8.1240000000000006</v>
      </c>
    </row>
    <row r="6" spans="1:5" x14ac:dyDescent="0.6">
      <c r="A6" s="3"/>
      <c r="B6" t="s">
        <v>10</v>
      </c>
      <c r="C6" s="2">
        <f t="shared" si="0"/>
        <v>4.8939759036144581</v>
      </c>
      <c r="D6">
        <v>1.66</v>
      </c>
      <c r="E6">
        <v>8.1240000000000006</v>
      </c>
    </row>
    <row r="7" spans="1:5" x14ac:dyDescent="0.6">
      <c r="A7" s="3"/>
      <c r="B7" t="s">
        <v>11</v>
      </c>
      <c r="C7" s="2">
        <f t="shared" si="0"/>
        <v>4.9901719901719908</v>
      </c>
      <c r="D7">
        <v>1.6279999999999999</v>
      </c>
      <c r="E7">
        <v>8.1240000000000006</v>
      </c>
    </row>
    <row r="8" spans="1:5" x14ac:dyDescent="0.6">
      <c r="A8" s="3" t="s">
        <v>4</v>
      </c>
      <c r="B8" t="s">
        <v>12</v>
      </c>
      <c r="C8" s="2">
        <f t="shared" si="0"/>
        <v>1.2607076350093112</v>
      </c>
      <c r="D8">
        <v>6.444</v>
      </c>
      <c r="E8">
        <v>8.1240000000000006</v>
      </c>
    </row>
    <row r="9" spans="1:5" x14ac:dyDescent="0.6">
      <c r="A9" s="3"/>
      <c r="B9" t="s">
        <v>7</v>
      </c>
      <c r="C9" s="2">
        <f t="shared" si="0"/>
        <v>2.0074128984432917</v>
      </c>
      <c r="D9">
        <v>4.0469999999999997</v>
      </c>
      <c r="E9">
        <v>8.1240000000000006</v>
      </c>
    </row>
    <row r="10" spans="1:5" x14ac:dyDescent="0.6">
      <c r="A10" s="3"/>
      <c r="B10" t="s">
        <v>8</v>
      </c>
      <c r="C10" s="2">
        <f t="shared" si="0"/>
        <v>3.5460497599301619</v>
      </c>
      <c r="D10">
        <v>2.2909999999999999</v>
      </c>
      <c r="E10">
        <v>8.1240000000000006</v>
      </c>
    </row>
    <row r="11" spans="1:5" x14ac:dyDescent="0.6">
      <c r="A11" s="3"/>
      <c r="B11" t="s">
        <v>9</v>
      </c>
      <c r="C11" s="2">
        <f t="shared" si="0"/>
        <v>4.6797235023041477</v>
      </c>
      <c r="D11">
        <v>1.736</v>
      </c>
      <c r="E11">
        <v>8.1240000000000006</v>
      </c>
    </row>
    <row r="12" spans="1:5" x14ac:dyDescent="0.6">
      <c r="A12" s="3"/>
      <c r="B12" t="s">
        <v>10</v>
      </c>
      <c r="C12" s="2">
        <f t="shared" si="0"/>
        <v>5.2043561819346582</v>
      </c>
      <c r="D12">
        <v>1.5609999999999999</v>
      </c>
      <c r="E12">
        <v>8.1240000000000006</v>
      </c>
    </row>
    <row r="13" spans="1:5" x14ac:dyDescent="0.6">
      <c r="A13" s="3"/>
      <c r="B13" t="s">
        <v>11</v>
      </c>
      <c r="C13" s="2">
        <f t="shared" si="0"/>
        <v>4.870503597122303</v>
      </c>
      <c r="D13">
        <v>1.6679999999999999</v>
      </c>
      <c r="E13">
        <v>8.1240000000000006</v>
      </c>
    </row>
    <row r="14" spans="1:5" x14ac:dyDescent="0.6">
      <c r="A14" s="3" t="s">
        <v>5</v>
      </c>
      <c r="B14" t="s">
        <v>12</v>
      </c>
      <c r="C14" s="2">
        <f t="shared" si="0"/>
        <v>1.3472636815920398</v>
      </c>
      <c r="D14">
        <v>6.03</v>
      </c>
      <c r="E14">
        <v>8.1240000000000006</v>
      </c>
    </row>
    <row r="15" spans="1:5" x14ac:dyDescent="0.6">
      <c r="A15" s="3"/>
      <c r="B15" t="s">
        <v>7</v>
      </c>
      <c r="C15" s="2">
        <f t="shared" si="0"/>
        <v>2.3726635514018692</v>
      </c>
      <c r="D15">
        <v>3.4239999999999999</v>
      </c>
      <c r="E15">
        <v>8.1240000000000006</v>
      </c>
    </row>
    <row r="16" spans="1:5" x14ac:dyDescent="0.6">
      <c r="A16" s="3"/>
      <c r="B16" t="s">
        <v>8</v>
      </c>
      <c r="C16" s="2">
        <f t="shared" si="0"/>
        <v>4.017804154302671</v>
      </c>
      <c r="D16">
        <v>2.0219999999999998</v>
      </c>
      <c r="E16">
        <v>8.1240000000000006</v>
      </c>
    </row>
    <row r="17" spans="1:5" x14ac:dyDescent="0.6">
      <c r="A17" s="3"/>
      <c r="B17" t="s">
        <v>9</v>
      </c>
      <c r="C17" s="2">
        <f t="shared" si="0"/>
        <v>4.9296116504854375</v>
      </c>
      <c r="D17">
        <v>1.6479999999999999</v>
      </c>
      <c r="E17">
        <v>8.1240000000000006</v>
      </c>
    </row>
    <row r="18" spans="1:5" x14ac:dyDescent="0.6">
      <c r="A18" s="3"/>
      <c r="B18" t="s">
        <v>10</v>
      </c>
      <c r="C18" s="2">
        <f t="shared" si="0"/>
        <v>5.1223203026481716</v>
      </c>
      <c r="D18">
        <v>1.5860000000000001</v>
      </c>
      <c r="E18">
        <v>8.1240000000000006</v>
      </c>
    </row>
    <row r="19" spans="1:5" x14ac:dyDescent="0.6">
      <c r="A19" s="3"/>
      <c r="B19" t="s">
        <v>11</v>
      </c>
      <c r="C19" s="2">
        <f t="shared" si="0"/>
        <v>5.0679975046787282</v>
      </c>
      <c r="D19">
        <v>1.603</v>
      </c>
      <c r="E19">
        <v>8.1240000000000006</v>
      </c>
    </row>
    <row r="20" spans="1:5" x14ac:dyDescent="0.6">
      <c r="A20" s="3" t="s">
        <v>6</v>
      </c>
      <c r="B20" t="s">
        <v>12</v>
      </c>
      <c r="C20" s="2">
        <f t="shared" si="0"/>
        <v>1.3674465578185493</v>
      </c>
      <c r="D20">
        <v>5.9409999999999998</v>
      </c>
      <c r="E20">
        <v>8.1240000000000006</v>
      </c>
    </row>
    <row r="21" spans="1:5" x14ac:dyDescent="0.6">
      <c r="A21" s="3"/>
      <c r="B21" t="s">
        <v>7</v>
      </c>
      <c r="C21" s="2">
        <f t="shared" si="0"/>
        <v>2.7170568561872908</v>
      </c>
      <c r="D21">
        <v>2.99</v>
      </c>
      <c r="E21">
        <v>8.1240000000000006</v>
      </c>
    </row>
    <row r="22" spans="1:5" x14ac:dyDescent="0.6">
      <c r="A22" s="3"/>
      <c r="B22" t="s">
        <v>8</v>
      </c>
      <c r="C22" s="2">
        <f t="shared" si="0"/>
        <v>4.7013888888888893</v>
      </c>
      <c r="D22">
        <v>1.728</v>
      </c>
      <c r="E22">
        <v>8.1240000000000006</v>
      </c>
    </row>
    <row r="23" spans="1:5" x14ac:dyDescent="0.6">
      <c r="A23" s="3"/>
      <c r="B23" t="s">
        <v>9</v>
      </c>
      <c r="C23" s="2">
        <f t="shared" si="0"/>
        <v>5.5190217391304355</v>
      </c>
      <c r="D23">
        <v>1.472</v>
      </c>
      <c r="E23">
        <v>8.1240000000000006</v>
      </c>
    </row>
    <row r="24" spans="1:5" x14ac:dyDescent="0.6">
      <c r="A24" s="3"/>
      <c r="B24" t="s">
        <v>10</v>
      </c>
      <c r="C24" s="2">
        <f t="shared" si="0"/>
        <v>5.6495132127955499</v>
      </c>
      <c r="D24">
        <v>1.4379999999999999</v>
      </c>
      <c r="E24">
        <v>8.1240000000000006</v>
      </c>
    </row>
    <row r="25" spans="1:5" x14ac:dyDescent="0.6">
      <c r="A25" s="3"/>
      <c r="B25" t="s">
        <v>11</v>
      </c>
      <c r="C25" s="2">
        <f t="shared" si="0"/>
        <v>5.6260387811634356</v>
      </c>
      <c r="D25">
        <v>1.444</v>
      </c>
      <c r="E25">
        <v>8.1240000000000006</v>
      </c>
    </row>
    <row r="26" spans="1:5" x14ac:dyDescent="0.6">
      <c r="A26" s="3" t="s">
        <v>2</v>
      </c>
      <c r="B26" t="s">
        <v>12</v>
      </c>
      <c r="C26" s="2">
        <f t="shared" si="0"/>
        <v>1.4814004376367615</v>
      </c>
      <c r="D26">
        <v>5.484</v>
      </c>
      <c r="E26">
        <v>8.1240000000000006</v>
      </c>
    </row>
    <row r="27" spans="1:5" x14ac:dyDescent="0.6">
      <c r="A27" s="3"/>
      <c r="B27" t="s">
        <v>7</v>
      </c>
      <c r="C27" s="2">
        <f t="shared" si="0"/>
        <v>2.900392716886826</v>
      </c>
      <c r="D27">
        <v>2.8010000000000002</v>
      </c>
      <c r="E27">
        <v>8.1240000000000006</v>
      </c>
    </row>
    <row r="28" spans="1:5" x14ac:dyDescent="0.6">
      <c r="A28" s="3"/>
      <c r="B28" t="s">
        <v>8</v>
      </c>
      <c r="C28" s="2">
        <f t="shared" si="0"/>
        <v>4.7205113306217319</v>
      </c>
      <c r="D28">
        <v>1.7210000000000001</v>
      </c>
      <c r="E28">
        <v>8.1240000000000006</v>
      </c>
    </row>
    <row r="29" spans="1:5" x14ac:dyDescent="0.6">
      <c r="A29" s="3"/>
      <c r="B29" t="s">
        <v>9</v>
      </c>
      <c r="C29" s="2">
        <f t="shared" si="0"/>
        <v>5.5911906400550588</v>
      </c>
      <c r="D29">
        <v>1.4530000000000001</v>
      </c>
      <c r="E29">
        <v>8.1240000000000006</v>
      </c>
    </row>
    <row r="30" spans="1:5" x14ac:dyDescent="0.6">
      <c r="A30" s="3"/>
      <c r="B30" t="s">
        <v>10</v>
      </c>
      <c r="C30" s="2">
        <f t="shared" si="0"/>
        <v>5.7130801687763721</v>
      </c>
      <c r="D30">
        <v>1.4219999999999999</v>
      </c>
      <c r="E30">
        <v>8.1240000000000006</v>
      </c>
    </row>
    <row r="31" spans="1:5" x14ac:dyDescent="0.6">
      <c r="A31" s="3"/>
      <c r="B31" t="s">
        <v>11</v>
      </c>
      <c r="C31" s="2">
        <f t="shared" si="0"/>
        <v>5.7987152034261245</v>
      </c>
      <c r="D31">
        <v>1.401</v>
      </c>
      <c r="E31">
        <v>8.1240000000000006</v>
      </c>
    </row>
    <row r="32" spans="1:5" x14ac:dyDescent="0.6">
      <c r="A32" s="1"/>
    </row>
    <row r="33" spans="1:1" x14ac:dyDescent="0.6">
      <c r="A33" s="1"/>
    </row>
    <row r="34" spans="1:1" x14ac:dyDescent="0.6">
      <c r="A34" s="1"/>
    </row>
    <row r="35" spans="1:1" x14ac:dyDescent="0.6">
      <c r="A35" s="1"/>
    </row>
    <row r="36" spans="1:1" x14ac:dyDescent="0.6">
      <c r="A36" s="1"/>
    </row>
  </sheetData>
  <mergeCells count="5">
    <mergeCell ref="A8:A13"/>
    <mergeCell ref="A14:A19"/>
    <mergeCell ref="A20:A25"/>
    <mergeCell ref="A26:A31"/>
    <mergeCell ref="A2:A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E4A9-AEC8-4913-8297-6543D29963A1}">
  <dimension ref="A1:E36"/>
  <sheetViews>
    <sheetView workbookViewId="0">
      <selection activeCell="A26" sqref="A26:A30"/>
    </sheetView>
  </sheetViews>
  <sheetFormatPr defaultRowHeight="18" x14ac:dyDescent="0.6"/>
  <cols>
    <col min="1" max="1" width="14.375" bestFit="1" customWidth="1"/>
    <col min="3" max="4" width="14.3125" bestFit="1" customWidth="1"/>
  </cols>
  <sheetData>
    <row r="1" spans="1:5" x14ac:dyDescent="0.6">
      <c r="A1" t="s">
        <v>0</v>
      </c>
      <c r="B1" t="s">
        <v>1</v>
      </c>
      <c r="C1" t="s">
        <v>13</v>
      </c>
      <c r="D1" t="s">
        <v>14</v>
      </c>
      <c r="E1" t="s">
        <v>15</v>
      </c>
    </row>
    <row r="2" spans="1:5" x14ac:dyDescent="0.6">
      <c r="A2" s="3" t="s">
        <v>3</v>
      </c>
      <c r="B2" t="s">
        <v>12</v>
      </c>
      <c r="C2" s="2">
        <f t="shared" ref="C2:C31" si="0">E2/D2</f>
        <v>1.1737067469042934</v>
      </c>
      <c r="D2">
        <v>17.282</v>
      </c>
      <c r="E2">
        <v>20.283999999999999</v>
      </c>
    </row>
    <row r="3" spans="1:5" x14ac:dyDescent="0.6">
      <c r="A3" s="3"/>
      <c r="B3" t="s">
        <v>7</v>
      </c>
      <c r="C3" s="2">
        <f t="shared" si="0"/>
        <v>2.0131004366812224</v>
      </c>
      <c r="D3">
        <v>10.076000000000001</v>
      </c>
      <c r="E3">
        <v>20.283999999999999</v>
      </c>
    </row>
    <row r="4" spans="1:5" x14ac:dyDescent="0.6">
      <c r="A4" s="3"/>
      <c r="B4" t="s">
        <v>8</v>
      </c>
      <c r="C4" s="2">
        <f t="shared" si="0"/>
        <v>3.4525957446808508</v>
      </c>
      <c r="D4">
        <v>5.875</v>
      </c>
      <c r="E4">
        <v>20.283999999999999</v>
      </c>
    </row>
    <row r="5" spans="1:5" x14ac:dyDescent="0.6">
      <c r="A5" s="3"/>
      <c r="B5" t="s">
        <v>9</v>
      </c>
      <c r="C5" s="2">
        <f t="shared" si="0"/>
        <v>4.5932971014492745</v>
      </c>
      <c r="D5">
        <v>4.4160000000000004</v>
      </c>
      <c r="E5">
        <v>20.283999999999999</v>
      </c>
    </row>
    <row r="6" spans="1:5" x14ac:dyDescent="0.6">
      <c r="A6" s="3"/>
      <c r="B6" t="s">
        <v>10</v>
      </c>
      <c r="C6" s="2">
        <f t="shared" si="0"/>
        <v>4.6737327188940094</v>
      </c>
      <c r="D6">
        <v>4.34</v>
      </c>
      <c r="E6">
        <v>20.283999999999999</v>
      </c>
    </row>
    <row r="7" spans="1:5" x14ac:dyDescent="0.6">
      <c r="A7" s="3"/>
      <c r="B7" t="s">
        <v>11</v>
      </c>
      <c r="C7" s="2">
        <f t="shared" si="0"/>
        <v>4.7293075308929824</v>
      </c>
      <c r="D7">
        <v>4.2889999999999997</v>
      </c>
      <c r="E7">
        <v>20.283999999999999</v>
      </c>
    </row>
    <row r="8" spans="1:5" x14ac:dyDescent="0.6">
      <c r="A8" s="3" t="s">
        <v>4</v>
      </c>
      <c r="B8" t="s">
        <v>12</v>
      </c>
      <c r="C8" s="2">
        <f t="shared" si="0"/>
        <v>1.5359684991670453</v>
      </c>
      <c r="D8">
        <v>13.206</v>
      </c>
      <c r="E8">
        <v>20.283999999999999</v>
      </c>
    </row>
    <row r="9" spans="1:5" x14ac:dyDescent="0.6">
      <c r="A9" s="3"/>
      <c r="B9" t="s">
        <v>7</v>
      </c>
      <c r="C9" s="2">
        <f t="shared" si="0"/>
        <v>2.6647398843930632</v>
      </c>
      <c r="D9">
        <v>7.6120000000000001</v>
      </c>
      <c r="E9">
        <v>20.283999999999999</v>
      </c>
    </row>
    <row r="10" spans="1:5" x14ac:dyDescent="0.6">
      <c r="A10" s="3"/>
      <c r="B10" t="s">
        <v>8</v>
      </c>
      <c r="C10" s="2">
        <f t="shared" si="0"/>
        <v>3.5673584241997887</v>
      </c>
      <c r="D10">
        <v>5.6859999999999999</v>
      </c>
      <c r="E10">
        <v>20.283999999999999</v>
      </c>
    </row>
    <row r="11" spans="1:5" x14ac:dyDescent="0.6">
      <c r="A11" s="3"/>
      <c r="B11" t="s">
        <v>9</v>
      </c>
      <c r="C11" s="2">
        <f t="shared" si="0"/>
        <v>5.2170781893004117</v>
      </c>
      <c r="D11">
        <v>3.8879999999999999</v>
      </c>
      <c r="E11">
        <v>20.283999999999999</v>
      </c>
    </row>
    <row r="12" spans="1:5" x14ac:dyDescent="0.6">
      <c r="A12" s="3"/>
      <c r="B12" t="s">
        <v>10</v>
      </c>
      <c r="C12" s="2">
        <f t="shared" si="0"/>
        <v>5.1784528976257338</v>
      </c>
      <c r="D12">
        <v>3.9169999999999998</v>
      </c>
      <c r="E12">
        <v>20.283999999999999</v>
      </c>
    </row>
    <row r="13" spans="1:5" x14ac:dyDescent="0.6">
      <c r="A13" s="3"/>
      <c r="B13" t="s">
        <v>11</v>
      </c>
      <c r="C13" s="2">
        <f t="shared" si="0"/>
        <v>5.0570929942657683</v>
      </c>
      <c r="D13">
        <v>4.0110000000000001</v>
      </c>
      <c r="E13">
        <v>20.283999999999999</v>
      </c>
    </row>
    <row r="14" spans="1:5" x14ac:dyDescent="0.6">
      <c r="A14" s="3" t="s">
        <v>5</v>
      </c>
      <c r="B14" t="s">
        <v>12</v>
      </c>
      <c r="C14" s="2">
        <f t="shared" si="0"/>
        <v>1.5223656559591714</v>
      </c>
      <c r="D14">
        <v>13.324</v>
      </c>
      <c r="E14">
        <v>20.283999999999999</v>
      </c>
    </row>
    <row r="15" spans="1:5" x14ac:dyDescent="0.6">
      <c r="A15" s="3"/>
      <c r="B15" t="s">
        <v>7</v>
      </c>
      <c r="C15" s="2">
        <f t="shared" si="0"/>
        <v>2.8633540372670807</v>
      </c>
      <c r="D15">
        <v>7.0839999999999996</v>
      </c>
      <c r="E15">
        <v>20.283999999999999</v>
      </c>
    </row>
    <row r="16" spans="1:5" x14ac:dyDescent="0.6">
      <c r="A16" s="3"/>
      <c r="B16" t="s">
        <v>8</v>
      </c>
      <c r="C16" s="2">
        <f t="shared" si="0"/>
        <v>4.1548545678000819</v>
      </c>
      <c r="D16">
        <v>4.8819999999999997</v>
      </c>
      <c r="E16">
        <v>20.283999999999999</v>
      </c>
    </row>
    <row r="17" spans="1:5" x14ac:dyDescent="0.6">
      <c r="A17" s="3"/>
      <c r="B17" t="s">
        <v>9</v>
      </c>
      <c r="C17" s="2">
        <f t="shared" si="0"/>
        <v>5.5542168674698793</v>
      </c>
      <c r="D17">
        <v>3.6520000000000001</v>
      </c>
      <c r="E17">
        <v>20.283999999999999</v>
      </c>
    </row>
    <row r="18" spans="1:5" x14ac:dyDescent="0.6">
      <c r="A18" s="3"/>
      <c r="B18" t="s">
        <v>10</v>
      </c>
      <c r="C18" s="2">
        <f t="shared" si="0"/>
        <v>5.55573815393043</v>
      </c>
      <c r="D18">
        <v>3.6509999999999998</v>
      </c>
      <c r="E18">
        <v>20.283999999999999</v>
      </c>
    </row>
    <row r="19" spans="1:5" x14ac:dyDescent="0.6">
      <c r="A19" s="3"/>
      <c r="B19" t="s">
        <v>11</v>
      </c>
      <c r="C19" s="2">
        <f t="shared" si="0"/>
        <v>5.5330060010911071</v>
      </c>
      <c r="D19">
        <v>3.6659999999999999</v>
      </c>
      <c r="E19">
        <v>20.283999999999999</v>
      </c>
    </row>
    <row r="20" spans="1:5" x14ac:dyDescent="0.6">
      <c r="A20" s="3" t="s">
        <v>6</v>
      </c>
      <c r="B20" t="s">
        <v>12</v>
      </c>
      <c r="C20" s="2">
        <f t="shared" si="0"/>
        <v>1.5190593874035796</v>
      </c>
      <c r="D20">
        <v>13.353</v>
      </c>
      <c r="E20">
        <v>20.283999999999999</v>
      </c>
    </row>
    <row r="21" spans="1:5" x14ac:dyDescent="0.6">
      <c r="A21" s="3"/>
      <c r="B21" t="s">
        <v>7</v>
      </c>
      <c r="C21" s="2">
        <f t="shared" si="0"/>
        <v>2.9051847608135204</v>
      </c>
      <c r="D21">
        <v>6.9820000000000002</v>
      </c>
      <c r="E21">
        <v>20.283999999999999</v>
      </c>
    </row>
    <row r="22" spans="1:5" x14ac:dyDescent="0.6">
      <c r="A22" s="3"/>
      <c r="B22" t="s">
        <v>8</v>
      </c>
      <c r="C22" s="2">
        <f t="shared" si="0"/>
        <v>4.9923701698252527</v>
      </c>
      <c r="D22">
        <v>4.0629999999999997</v>
      </c>
      <c r="E22">
        <v>20.283999999999999</v>
      </c>
    </row>
    <row r="23" spans="1:5" x14ac:dyDescent="0.6">
      <c r="A23" s="3"/>
      <c r="B23" t="s">
        <v>9</v>
      </c>
      <c r="C23" s="2">
        <f t="shared" si="0"/>
        <v>5.4644396551724128</v>
      </c>
      <c r="D23">
        <v>3.7120000000000002</v>
      </c>
      <c r="E23">
        <v>20.283999999999999</v>
      </c>
    </row>
    <row r="24" spans="1:5" x14ac:dyDescent="0.6">
      <c r="A24" s="3"/>
      <c r="B24" t="s">
        <v>10</v>
      </c>
      <c r="C24" s="2">
        <f t="shared" si="0"/>
        <v>5.5149537792278407</v>
      </c>
      <c r="D24">
        <v>3.6779999999999999</v>
      </c>
      <c r="E24">
        <v>20.283999999999999</v>
      </c>
    </row>
    <row r="25" spans="1:5" x14ac:dyDescent="0.6">
      <c r="A25" s="3"/>
      <c r="B25" t="s">
        <v>11</v>
      </c>
      <c r="C25" s="2">
        <f t="shared" si="0"/>
        <v>5.4629679504443844</v>
      </c>
      <c r="D25">
        <v>3.7130000000000001</v>
      </c>
      <c r="E25">
        <v>20.283999999999999</v>
      </c>
    </row>
    <row r="26" spans="1:5" x14ac:dyDescent="0.6">
      <c r="A26" s="3" t="s">
        <v>2</v>
      </c>
      <c r="B26" t="s">
        <v>12</v>
      </c>
      <c r="C26" s="2">
        <f t="shared" si="0"/>
        <v>1.6532724753443637</v>
      </c>
      <c r="D26">
        <v>12.269</v>
      </c>
      <c r="E26">
        <v>20.283999999999999</v>
      </c>
    </row>
    <row r="27" spans="1:5" x14ac:dyDescent="0.6">
      <c r="A27" s="3"/>
      <c r="B27" t="s">
        <v>7</v>
      </c>
      <c r="C27" s="2">
        <f t="shared" si="0"/>
        <v>3.0566606389391198</v>
      </c>
      <c r="D27">
        <v>6.6360000000000001</v>
      </c>
      <c r="E27">
        <v>20.283999999999999</v>
      </c>
    </row>
    <row r="28" spans="1:5" x14ac:dyDescent="0.6">
      <c r="A28" s="3"/>
      <c r="B28" t="s">
        <v>8</v>
      </c>
      <c r="C28" s="2">
        <f t="shared" si="0"/>
        <v>5.2877997914494266</v>
      </c>
      <c r="D28">
        <v>3.8359999999999999</v>
      </c>
      <c r="E28">
        <v>20.283999999999999</v>
      </c>
    </row>
    <row r="29" spans="1:5" x14ac:dyDescent="0.6">
      <c r="A29" s="3"/>
      <c r="B29" t="s">
        <v>9</v>
      </c>
      <c r="C29" s="2">
        <f t="shared" si="0"/>
        <v>5.5694673256452498</v>
      </c>
      <c r="D29">
        <v>3.6419999999999999</v>
      </c>
      <c r="E29">
        <v>20.283999999999999</v>
      </c>
    </row>
    <row r="30" spans="1:5" x14ac:dyDescent="0.6">
      <c r="A30" s="3"/>
      <c r="B30" t="s">
        <v>10</v>
      </c>
      <c r="C30" s="2">
        <f t="shared" si="0"/>
        <v>5.7105855855855854</v>
      </c>
      <c r="D30">
        <v>3.552</v>
      </c>
      <c r="E30">
        <v>20.283999999999999</v>
      </c>
    </row>
    <row r="31" spans="1:5" x14ac:dyDescent="0.6">
      <c r="A31" s="4"/>
      <c r="B31" t="s">
        <v>11</v>
      </c>
      <c r="C31" s="2">
        <f t="shared" si="0"/>
        <v>5.6913580246913575</v>
      </c>
      <c r="D31">
        <v>3.5640000000000001</v>
      </c>
      <c r="E31">
        <v>20.283999999999999</v>
      </c>
    </row>
    <row r="32" spans="1:5" x14ac:dyDescent="0.6">
      <c r="A32" s="4"/>
    </row>
    <row r="33" spans="1:1" x14ac:dyDescent="0.6">
      <c r="A33" s="4"/>
    </row>
    <row r="34" spans="1:1" x14ac:dyDescent="0.6">
      <c r="A34" s="4"/>
    </row>
    <row r="35" spans="1:1" x14ac:dyDescent="0.6">
      <c r="A35" s="4"/>
    </row>
    <row r="36" spans="1:1" x14ac:dyDescent="0.6">
      <c r="A36" s="4"/>
    </row>
  </sheetData>
  <mergeCells count="5">
    <mergeCell ref="A2:A7"/>
    <mergeCell ref="A8:A13"/>
    <mergeCell ref="A14:A19"/>
    <mergeCell ref="A20:A25"/>
    <mergeCell ref="A26:A3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2A33-3062-4CEA-8ABF-465BBAC216BB}">
  <dimension ref="A1:E36"/>
  <sheetViews>
    <sheetView workbookViewId="0">
      <selection activeCell="A26" sqref="A26:A31"/>
    </sheetView>
  </sheetViews>
  <sheetFormatPr defaultRowHeight="18" x14ac:dyDescent="0.6"/>
  <cols>
    <col min="1" max="1" width="14.375" bestFit="1" customWidth="1"/>
    <col min="3" max="3" width="6.625" bestFit="1" customWidth="1"/>
    <col min="4" max="4" width="9.4375" customWidth="1"/>
  </cols>
  <sheetData>
    <row r="1" spans="1:5" x14ac:dyDescent="0.6">
      <c r="A1" t="s">
        <v>0</v>
      </c>
      <c r="B1" t="s">
        <v>1</v>
      </c>
      <c r="C1" t="s">
        <v>13</v>
      </c>
      <c r="D1" t="s">
        <v>14</v>
      </c>
      <c r="E1" t="s">
        <v>15</v>
      </c>
    </row>
    <row r="2" spans="1:5" x14ac:dyDescent="0.6">
      <c r="A2" s="3" t="s">
        <v>3</v>
      </c>
      <c r="B2" t="s">
        <v>12</v>
      </c>
      <c r="C2" s="2">
        <f t="shared" ref="C2:C31" si="0">E2/D2</f>
        <v>1.4820326033847111</v>
      </c>
      <c r="D2">
        <v>22.513000000000002</v>
      </c>
      <c r="E2">
        <v>33.365000000000002</v>
      </c>
    </row>
    <row r="3" spans="1:5" x14ac:dyDescent="0.6">
      <c r="A3" s="3"/>
      <c r="B3" t="s">
        <v>7</v>
      </c>
      <c r="C3" s="2">
        <f t="shared" si="0"/>
        <v>2.4549334118166435</v>
      </c>
      <c r="D3">
        <v>13.590999999999999</v>
      </c>
      <c r="E3">
        <v>33.365000000000002</v>
      </c>
    </row>
    <row r="4" spans="1:5" x14ac:dyDescent="0.6">
      <c r="A4" s="3"/>
      <c r="B4" t="s">
        <v>8</v>
      </c>
      <c r="C4" s="2">
        <f t="shared" si="0"/>
        <v>3.6004100571921875</v>
      </c>
      <c r="D4">
        <v>9.2669999999999995</v>
      </c>
      <c r="E4">
        <v>33.365000000000002</v>
      </c>
    </row>
    <row r="5" spans="1:5" x14ac:dyDescent="0.6">
      <c r="A5" s="3"/>
      <c r="B5" t="s">
        <v>9</v>
      </c>
      <c r="C5" s="2">
        <f t="shared" si="0"/>
        <v>4.9080611944689618</v>
      </c>
      <c r="D5">
        <v>6.798</v>
      </c>
      <c r="E5">
        <v>33.365000000000002</v>
      </c>
    </row>
    <row r="6" spans="1:5" x14ac:dyDescent="0.6">
      <c r="A6" s="3"/>
      <c r="B6" t="s">
        <v>10</v>
      </c>
      <c r="C6" s="2">
        <f t="shared" si="0"/>
        <v>4.8474502397210522</v>
      </c>
      <c r="D6">
        <v>6.883</v>
      </c>
      <c r="E6">
        <v>33.365000000000002</v>
      </c>
    </row>
    <row r="7" spans="1:5" x14ac:dyDescent="0.6">
      <c r="A7" s="3"/>
      <c r="B7" t="s">
        <v>11</v>
      </c>
      <c r="C7" s="2">
        <f t="shared" si="0"/>
        <v>4.9429629629629632</v>
      </c>
      <c r="D7">
        <v>6.75</v>
      </c>
      <c r="E7">
        <v>33.365000000000002</v>
      </c>
    </row>
    <row r="8" spans="1:5" x14ac:dyDescent="0.6">
      <c r="A8" s="3" t="s">
        <v>4</v>
      </c>
      <c r="B8" t="s">
        <v>12</v>
      </c>
      <c r="C8" s="2">
        <f t="shared" si="0"/>
        <v>1.8614706538719037</v>
      </c>
      <c r="D8">
        <v>17.923999999999999</v>
      </c>
      <c r="E8">
        <v>33.365000000000002</v>
      </c>
    </row>
    <row r="9" spans="1:5" x14ac:dyDescent="0.6">
      <c r="A9" s="3"/>
      <c r="B9" t="s">
        <v>7</v>
      </c>
      <c r="C9" s="2">
        <f t="shared" si="0"/>
        <v>3.4297902960526319</v>
      </c>
      <c r="D9">
        <v>9.7279999999999998</v>
      </c>
      <c r="E9">
        <v>33.365000000000002</v>
      </c>
    </row>
    <row r="10" spans="1:5" x14ac:dyDescent="0.6">
      <c r="A10" s="3"/>
      <c r="B10" t="s">
        <v>8</v>
      </c>
      <c r="C10" s="2">
        <f t="shared" si="0"/>
        <v>3.7212803925942453</v>
      </c>
      <c r="D10">
        <v>8.9659999999999993</v>
      </c>
      <c r="E10">
        <v>33.365000000000002</v>
      </c>
    </row>
    <row r="11" spans="1:5" x14ac:dyDescent="0.6">
      <c r="A11" s="3"/>
      <c r="B11" t="s">
        <v>9</v>
      </c>
      <c r="C11" s="2">
        <f t="shared" si="0"/>
        <v>5.7112290311537155</v>
      </c>
      <c r="D11">
        <v>5.8419999999999996</v>
      </c>
      <c r="E11">
        <v>33.365000000000002</v>
      </c>
    </row>
    <row r="12" spans="1:5" x14ac:dyDescent="0.6">
      <c r="A12" s="3"/>
      <c r="B12" t="s">
        <v>10</v>
      </c>
      <c r="C12" s="2">
        <f t="shared" si="0"/>
        <v>5.6675726176320715</v>
      </c>
      <c r="D12">
        <v>5.8869999999999996</v>
      </c>
      <c r="E12">
        <v>33.365000000000002</v>
      </c>
    </row>
    <row r="13" spans="1:5" x14ac:dyDescent="0.6">
      <c r="A13" s="3"/>
      <c r="B13" t="s">
        <v>11</v>
      </c>
      <c r="C13" s="2">
        <f t="shared" si="0"/>
        <v>5.6995216945678173</v>
      </c>
      <c r="D13">
        <v>5.8540000000000001</v>
      </c>
      <c r="E13">
        <v>33.365000000000002</v>
      </c>
    </row>
    <row r="14" spans="1:5" x14ac:dyDescent="0.6">
      <c r="A14" s="3" t="s">
        <v>5</v>
      </c>
      <c r="B14" t="s">
        <v>12</v>
      </c>
      <c r="C14" s="2">
        <f t="shared" si="0"/>
        <v>1.8824757391108102</v>
      </c>
      <c r="D14">
        <v>17.724</v>
      </c>
      <c r="E14">
        <v>33.365000000000002</v>
      </c>
    </row>
    <row r="15" spans="1:5" x14ac:dyDescent="0.6">
      <c r="A15" s="3"/>
      <c r="B15" t="s">
        <v>7</v>
      </c>
      <c r="C15" s="2">
        <f t="shared" si="0"/>
        <v>3.4639742524916945</v>
      </c>
      <c r="D15">
        <v>9.6319999999999997</v>
      </c>
      <c r="E15">
        <v>33.365000000000002</v>
      </c>
    </row>
    <row r="16" spans="1:5" x14ac:dyDescent="0.6">
      <c r="A16" s="3"/>
      <c r="B16" t="s">
        <v>8</v>
      </c>
      <c r="C16" s="2">
        <f t="shared" si="0"/>
        <v>5.6075630252100845</v>
      </c>
      <c r="D16">
        <v>5.95</v>
      </c>
      <c r="E16">
        <v>33.365000000000002</v>
      </c>
    </row>
    <row r="17" spans="1:5" x14ac:dyDescent="0.6">
      <c r="A17" s="3"/>
      <c r="B17" t="s">
        <v>9</v>
      </c>
      <c r="C17" s="2">
        <f t="shared" si="0"/>
        <v>5.8483786152497812</v>
      </c>
      <c r="D17">
        <v>5.7050000000000001</v>
      </c>
      <c r="E17">
        <v>33.365000000000002</v>
      </c>
    </row>
    <row r="18" spans="1:5" x14ac:dyDescent="0.6">
      <c r="A18" s="3"/>
      <c r="B18" t="s">
        <v>10</v>
      </c>
      <c r="C18" s="2">
        <f t="shared" si="0"/>
        <v>5.9580357142857148</v>
      </c>
      <c r="D18">
        <v>5.6</v>
      </c>
      <c r="E18">
        <v>33.365000000000002</v>
      </c>
    </row>
    <row r="19" spans="1:5" x14ac:dyDescent="0.6">
      <c r="A19" s="3"/>
      <c r="B19" t="s">
        <v>11</v>
      </c>
      <c r="C19" s="2">
        <f t="shared" si="0"/>
        <v>5.9965851905104248</v>
      </c>
      <c r="D19">
        <v>5.5640000000000001</v>
      </c>
      <c r="E19">
        <v>33.365000000000002</v>
      </c>
    </row>
    <row r="20" spans="1:5" x14ac:dyDescent="0.6">
      <c r="A20" s="3" t="s">
        <v>6</v>
      </c>
      <c r="B20" t="s">
        <v>12</v>
      </c>
      <c r="C20" s="2">
        <f t="shared" si="0"/>
        <v>1.7415701012631799</v>
      </c>
      <c r="D20">
        <v>19.158000000000001</v>
      </c>
      <c r="E20">
        <v>33.365000000000002</v>
      </c>
    </row>
    <row r="21" spans="1:5" x14ac:dyDescent="0.6">
      <c r="A21" s="3"/>
      <c r="B21" t="s">
        <v>7</v>
      </c>
      <c r="C21" s="2">
        <f t="shared" si="0"/>
        <v>3.3702020202020204</v>
      </c>
      <c r="D21">
        <v>9.9</v>
      </c>
      <c r="E21">
        <v>33.365000000000002</v>
      </c>
    </row>
    <row r="22" spans="1:5" x14ac:dyDescent="0.6">
      <c r="A22" s="3"/>
      <c r="B22" t="s">
        <v>8</v>
      </c>
      <c r="C22" s="2">
        <f t="shared" si="0"/>
        <v>5.5747702589807853</v>
      </c>
      <c r="D22">
        <v>5.9850000000000003</v>
      </c>
      <c r="E22">
        <v>33.365000000000002</v>
      </c>
    </row>
    <row r="23" spans="1:5" x14ac:dyDescent="0.6">
      <c r="A23" s="3"/>
      <c r="B23" t="s">
        <v>9</v>
      </c>
      <c r="C23" s="2">
        <f t="shared" si="0"/>
        <v>5.7278969957081545</v>
      </c>
      <c r="D23">
        <v>5.8250000000000002</v>
      </c>
      <c r="E23">
        <v>33.365000000000002</v>
      </c>
    </row>
    <row r="24" spans="1:5" x14ac:dyDescent="0.6">
      <c r="A24" s="3"/>
      <c r="B24" t="s">
        <v>10</v>
      </c>
      <c r="C24" s="2">
        <f t="shared" si="0"/>
        <v>5.8432574430823125</v>
      </c>
      <c r="D24">
        <v>5.71</v>
      </c>
      <c r="E24">
        <v>33.365000000000002</v>
      </c>
    </row>
    <row r="25" spans="1:5" x14ac:dyDescent="0.6">
      <c r="A25" s="3"/>
      <c r="B25" t="s">
        <v>11</v>
      </c>
      <c r="C25" s="2">
        <f t="shared" si="0"/>
        <v>5.8096813512101688</v>
      </c>
      <c r="D25">
        <v>5.7430000000000003</v>
      </c>
      <c r="E25">
        <v>33.365000000000002</v>
      </c>
    </row>
    <row r="26" spans="1:5" x14ac:dyDescent="0.6">
      <c r="A26" s="3" t="s">
        <v>2</v>
      </c>
      <c r="B26" t="s">
        <v>12</v>
      </c>
      <c r="C26" s="2">
        <f t="shared" si="0"/>
        <v>1.8426575357596511</v>
      </c>
      <c r="D26">
        <v>18.106999999999999</v>
      </c>
      <c r="E26">
        <v>33.365000000000002</v>
      </c>
    </row>
    <row r="27" spans="1:5" x14ac:dyDescent="0.6">
      <c r="A27" s="3"/>
      <c r="B27" t="s">
        <v>7</v>
      </c>
      <c r="C27" s="2">
        <f t="shared" si="0"/>
        <v>3.4621770260454499</v>
      </c>
      <c r="D27">
        <v>9.6370000000000005</v>
      </c>
      <c r="E27">
        <v>33.365000000000002</v>
      </c>
    </row>
    <row r="28" spans="1:5" x14ac:dyDescent="0.6">
      <c r="A28" s="3"/>
      <c r="B28" t="s">
        <v>8</v>
      </c>
      <c r="C28" s="2">
        <f t="shared" si="0"/>
        <v>5.7925347222222232</v>
      </c>
      <c r="D28">
        <v>5.76</v>
      </c>
      <c r="E28">
        <v>33.365000000000002</v>
      </c>
    </row>
    <row r="29" spans="1:5" x14ac:dyDescent="0.6">
      <c r="A29" s="3"/>
      <c r="B29" t="s">
        <v>9</v>
      </c>
      <c r="C29" s="2">
        <f t="shared" si="0"/>
        <v>5.8948763250883394</v>
      </c>
      <c r="D29">
        <v>5.66</v>
      </c>
      <c r="E29">
        <v>33.365000000000002</v>
      </c>
    </row>
    <row r="30" spans="1:5" x14ac:dyDescent="0.6">
      <c r="A30" s="3"/>
      <c r="B30" t="s">
        <v>10</v>
      </c>
      <c r="C30" s="2">
        <f t="shared" si="0"/>
        <v>5.9847533632287</v>
      </c>
      <c r="D30">
        <v>5.5750000000000002</v>
      </c>
      <c r="E30">
        <v>33.365000000000002</v>
      </c>
    </row>
    <row r="31" spans="1:5" x14ac:dyDescent="0.6">
      <c r="A31" s="3"/>
      <c r="B31" t="s">
        <v>11</v>
      </c>
      <c r="C31" s="2">
        <f t="shared" si="0"/>
        <v>6.0019787731606407</v>
      </c>
      <c r="D31">
        <v>5.5590000000000002</v>
      </c>
      <c r="E31">
        <v>33.365000000000002</v>
      </c>
    </row>
    <row r="32" spans="1:5" x14ac:dyDescent="0.6">
      <c r="A32" s="1"/>
    </row>
    <row r="33" spans="1:1" x14ac:dyDescent="0.6">
      <c r="A33" s="1"/>
    </row>
    <row r="34" spans="1:1" x14ac:dyDescent="0.6">
      <c r="A34" s="1"/>
    </row>
    <row r="35" spans="1:1" x14ac:dyDescent="0.6">
      <c r="A35" s="1"/>
    </row>
    <row r="36" spans="1:1" x14ac:dyDescent="0.6">
      <c r="A36" s="1"/>
    </row>
  </sheetData>
  <mergeCells count="5">
    <mergeCell ref="A2:A7"/>
    <mergeCell ref="A8:A13"/>
    <mergeCell ref="A14:A19"/>
    <mergeCell ref="A20:A25"/>
    <mergeCell ref="A26:A3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019-A620-4BBB-81E6-C79E79873A64}">
  <dimension ref="A1:E36"/>
  <sheetViews>
    <sheetView workbookViewId="0">
      <selection activeCell="A26" sqref="A26:A31"/>
    </sheetView>
  </sheetViews>
  <sheetFormatPr defaultRowHeight="18" x14ac:dyDescent="0.6"/>
  <cols>
    <col min="1" max="1" width="14.375" bestFit="1" customWidth="1"/>
    <col min="3" max="3" width="6.625" style="2" bestFit="1" customWidth="1"/>
    <col min="4" max="4" width="14.3125" bestFit="1" customWidth="1"/>
  </cols>
  <sheetData>
    <row r="1" spans="1:5" x14ac:dyDescent="0.6">
      <c r="A1" t="s">
        <v>0</v>
      </c>
      <c r="B1" t="s">
        <v>1</v>
      </c>
      <c r="C1" s="2" t="s">
        <v>13</v>
      </c>
      <c r="D1" t="s">
        <v>14</v>
      </c>
      <c r="E1" t="s">
        <v>15</v>
      </c>
    </row>
    <row r="2" spans="1:5" x14ac:dyDescent="0.6">
      <c r="A2" s="3" t="s">
        <v>3</v>
      </c>
      <c r="B2" t="s">
        <v>12</v>
      </c>
      <c r="C2" s="2">
        <f t="shared" ref="C2:C31" si="0">E2/D2</f>
        <v>1.7128021360314785</v>
      </c>
      <c r="D2">
        <v>71.16</v>
      </c>
      <c r="E2">
        <v>121.883</v>
      </c>
    </row>
    <row r="3" spans="1:5" x14ac:dyDescent="0.6">
      <c r="A3" s="3"/>
      <c r="B3" t="s">
        <v>7</v>
      </c>
      <c r="C3" s="2">
        <f t="shared" si="0"/>
        <v>3.0796422164388408</v>
      </c>
      <c r="D3">
        <v>39.576999999999998</v>
      </c>
      <c r="E3">
        <v>121.883</v>
      </c>
    </row>
    <row r="4" spans="1:5" x14ac:dyDescent="0.6">
      <c r="A4" s="3"/>
      <c r="B4" t="s">
        <v>8</v>
      </c>
      <c r="C4" s="2">
        <f t="shared" si="0"/>
        <v>5.1187686363445462</v>
      </c>
      <c r="D4">
        <v>23.811</v>
      </c>
      <c r="E4">
        <v>121.883</v>
      </c>
    </row>
    <row r="5" spans="1:5" x14ac:dyDescent="0.6">
      <c r="A5" s="3"/>
      <c r="B5" t="s">
        <v>9</v>
      </c>
      <c r="C5" s="2">
        <f t="shared" si="0"/>
        <v>5.4577735984237865</v>
      </c>
      <c r="D5">
        <v>22.332000000000001</v>
      </c>
      <c r="E5">
        <v>121.883</v>
      </c>
    </row>
    <row r="6" spans="1:5" x14ac:dyDescent="0.6">
      <c r="A6" s="3"/>
      <c r="B6" t="s">
        <v>10</v>
      </c>
      <c r="C6" s="2">
        <f t="shared" si="0"/>
        <v>5.7973268645357683</v>
      </c>
      <c r="D6">
        <v>21.024000000000001</v>
      </c>
      <c r="E6">
        <v>121.883</v>
      </c>
    </row>
    <row r="7" spans="1:5" x14ac:dyDescent="0.6">
      <c r="A7" s="3"/>
      <c r="B7" t="s">
        <v>11</v>
      </c>
      <c r="C7" s="2">
        <f t="shared" si="0"/>
        <v>5.8336763509309337</v>
      </c>
      <c r="D7">
        <v>20.893000000000001</v>
      </c>
      <c r="E7">
        <v>121.883</v>
      </c>
    </row>
    <row r="8" spans="1:5" x14ac:dyDescent="0.6">
      <c r="A8" s="3" t="s">
        <v>4</v>
      </c>
      <c r="B8" t="s">
        <v>12</v>
      </c>
      <c r="C8" s="2">
        <f t="shared" si="0"/>
        <v>1.7908432389544366</v>
      </c>
      <c r="D8">
        <v>68.058999999999997</v>
      </c>
      <c r="E8">
        <v>121.883</v>
      </c>
    </row>
    <row r="9" spans="1:5" x14ac:dyDescent="0.6">
      <c r="A9" s="3"/>
      <c r="B9" t="s">
        <v>7</v>
      </c>
      <c r="C9" s="2">
        <f t="shared" si="0"/>
        <v>3.363124637841119</v>
      </c>
      <c r="D9">
        <v>36.241</v>
      </c>
      <c r="E9">
        <v>121.883</v>
      </c>
    </row>
    <row r="10" spans="1:5" x14ac:dyDescent="0.6">
      <c r="A10" s="3"/>
      <c r="B10" t="s">
        <v>8</v>
      </c>
      <c r="C10" s="2">
        <f t="shared" si="0"/>
        <v>5.8261472275334603</v>
      </c>
      <c r="D10">
        <v>20.92</v>
      </c>
      <c r="E10">
        <v>121.883</v>
      </c>
    </row>
    <row r="11" spans="1:5" x14ac:dyDescent="0.6">
      <c r="A11" s="3"/>
      <c r="B11" t="s">
        <v>9</v>
      </c>
      <c r="C11" s="2">
        <f t="shared" si="0"/>
        <v>6.087453800819099</v>
      </c>
      <c r="D11">
        <v>20.021999999999998</v>
      </c>
      <c r="E11">
        <v>121.883</v>
      </c>
    </row>
    <row r="12" spans="1:5" x14ac:dyDescent="0.6">
      <c r="A12" s="3"/>
      <c r="B12" t="s">
        <v>10</v>
      </c>
      <c r="C12" s="2">
        <f t="shared" si="0"/>
        <v>6.2443260412930996</v>
      </c>
      <c r="D12">
        <v>19.518999999999998</v>
      </c>
      <c r="E12">
        <v>121.883</v>
      </c>
    </row>
    <row r="13" spans="1:5" x14ac:dyDescent="0.6">
      <c r="A13" s="3"/>
      <c r="B13" t="s">
        <v>11</v>
      </c>
      <c r="C13" s="2">
        <f t="shared" si="0"/>
        <v>6.3174726584771683</v>
      </c>
      <c r="D13">
        <v>19.292999999999999</v>
      </c>
      <c r="E13">
        <v>121.883</v>
      </c>
    </row>
    <row r="14" spans="1:5" x14ac:dyDescent="0.6">
      <c r="A14" s="3" t="s">
        <v>5</v>
      </c>
      <c r="B14" t="s">
        <v>12</v>
      </c>
      <c r="C14" s="2">
        <f t="shared" si="0"/>
        <v>1.7852037378797199</v>
      </c>
      <c r="D14">
        <v>68.274000000000001</v>
      </c>
      <c r="E14">
        <v>121.883</v>
      </c>
    </row>
    <row r="15" spans="1:5" x14ac:dyDescent="0.6">
      <c r="A15" s="3"/>
      <c r="B15" t="s">
        <v>7</v>
      </c>
      <c r="C15" s="2">
        <f t="shared" si="0"/>
        <v>3.3169052413868174</v>
      </c>
      <c r="D15">
        <v>36.746000000000002</v>
      </c>
      <c r="E15">
        <v>121.883</v>
      </c>
    </row>
    <row r="16" spans="1:5" x14ac:dyDescent="0.6">
      <c r="A16" s="3"/>
      <c r="B16" t="s">
        <v>8</v>
      </c>
      <c r="C16" s="2">
        <f t="shared" si="0"/>
        <v>5.8886365832447574</v>
      </c>
      <c r="D16">
        <v>20.698</v>
      </c>
      <c r="E16">
        <v>121.883</v>
      </c>
    </row>
    <row r="17" spans="1:5" x14ac:dyDescent="0.6">
      <c r="A17" s="3"/>
      <c r="B17" t="s">
        <v>9</v>
      </c>
      <c r="C17" s="2">
        <f t="shared" si="0"/>
        <v>6.0841112164927864</v>
      </c>
      <c r="D17">
        <v>20.033000000000001</v>
      </c>
      <c r="E17">
        <v>121.883</v>
      </c>
    </row>
    <row r="18" spans="1:5" x14ac:dyDescent="0.6">
      <c r="A18" s="3"/>
      <c r="B18" t="s">
        <v>10</v>
      </c>
      <c r="C18" s="2">
        <f t="shared" si="0"/>
        <v>6.2995141616704569</v>
      </c>
      <c r="D18">
        <v>19.347999999999999</v>
      </c>
      <c r="E18">
        <v>121.883</v>
      </c>
    </row>
    <row r="19" spans="1:5" x14ac:dyDescent="0.6">
      <c r="A19" s="3"/>
      <c r="B19" t="s">
        <v>11</v>
      </c>
      <c r="C19" s="2">
        <f t="shared" si="0"/>
        <v>6.3378399459206483</v>
      </c>
      <c r="D19">
        <v>19.231000000000002</v>
      </c>
      <c r="E19">
        <v>121.883</v>
      </c>
    </row>
    <row r="20" spans="1:5" x14ac:dyDescent="0.6">
      <c r="A20" s="3" t="s">
        <v>6</v>
      </c>
      <c r="B20" t="s">
        <v>12</v>
      </c>
      <c r="C20" s="2">
        <f t="shared" si="0"/>
        <v>1.7717612513082917</v>
      </c>
      <c r="D20">
        <v>68.792000000000002</v>
      </c>
      <c r="E20">
        <v>121.883</v>
      </c>
    </row>
    <row r="21" spans="1:5" x14ac:dyDescent="0.6">
      <c r="A21" s="3"/>
      <c r="B21" t="s">
        <v>7</v>
      </c>
      <c r="C21" s="2">
        <f t="shared" si="0"/>
        <v>3.3412741926640712</v>
      </c>
      <c r="D21">
        <v>36.478000000000002</v>
      </c>
      <c r="E21">
        <v>121.883</v>
      </c>
    </row>
    <row r="22" spans="1:5" x14ac:dyDescent="0.6">
      <c r="A22" s="3"/>
      <c r="B22" t="s">
        <v>8</v>
      </c>
      <c r="C22" s="2">
        <f t="shared" si="0"/>
        <v>6.0771340247307535</v>
      </c>
      <c r="D22">
        <v>20.056000000000001</v>
      </c>
      <c r="E22">
        <v>121.883</v>
      </c>
    </row>
    <row r="23" spans="1:5" x14ac:dyDescent="0.6">
      <c r="A23" s="3"/>
      <c r="B23" t="s">
        <v>9</v>
      </c>
      <c r="C23" s="2">
        <f t="shared" si="0"/>
        <v>6.2058553971486754</v>
      </c>
      <c r="D23">
        <v>19.64</v>
      </c>
      <c r="E23">
        <v>121.883</v>
      </c>
    </row>
    <row r="24" spans="1:5" x14ac:dyDescent="0.6">
      <c r="A24" s="3"/>
      <c r="B24" t="s">
        <v>10</v>
      </c>
      <c r="C24" s="2">
        <f t="shared" si="0"/>
        <v>6.4287673400495802</v>
      </c>
      <c r="D24">
        <v>18.959</v>
      </c>
      <c r="E24">
        <v>121.883</v>
      </c>
    </row>
    <row r="25" spans="1:5" x14ac:dyDescent="0.6">
      <c r="A25" s="3"/>
      <c r="B25" t="s">
        <v>11</v>
      </c>
      <c r="C25" s="2">
        <f t="shared" si="0"/>
        <v>6.3910125321168261</v>
      </c>
      <c r="D25">
        <v>19.071000000000002</v>
      </c>
      <c r="E25">
        <v>121.883</v>
      </c>
    </row>
    <row r="26" spans="1:5" x14ac:dyDescent="0.6">
      <c r="A26" s="3" t="s">
        <v>2</v>
      </c>
      <c r="B26" t="s">
        <v>12</v>
      </c>
      <c r="C26" s="2">
        <f t="shared" si="0"/>
        <v>1.7918436953293835</v>
      </c>
      <c r="D26">
        <v>68.021000000000001</v>
      </c>
      <c r="E26">
        <v>121.883</v>
      </c>
    </row>
    <row r="27" spans="1:5" x14ac:dyDescent="0.6">
      <c r="A27" s="3"/>
      <c r="B27" t="s">
        <v>7</v>
      </c>
      <c r="C27" s="2">
        <f t="shared" si="0"/>
        <v>3.3007366083518384</v>
      </c>
      <c r="D27">
        <v>36.926000000000002</v>
      </c>
      <c r="E27">
        <v>121.883</v>
      </c>
    </row>
    <row r="28" spans="1:5" x14ac:dyDescent="0.6">
      <c r="A28" s="3"/>
      <c r="B28" t="s">
        <v>8</v>
      </c>
      <c r="C28" s="2">
        <f t="shared" si="0"/>
        <v>5.8325596975642435</v>
      </c>
      <c r="D28">
        <v>20.896999999999998</v>
      </c>
      <c r="E28">
        <v>121.883</v>
      </c>
    </row>
    <row r="29" spans="1:5" x14ac:dyDescent="0.6">
      <c r="A29" s="3"/>
      <c r="B29" t="s">
        <v>9</v>
      </c>
      <c r="C29" s="2">
        <f t="shared" si="0"/>
        <v>6.0239707408688776</v>
      </c>
      <c r="D29">
        <v>20.233000000000001</v>
      </c>
      <c r="E29">
        <v>121.883</v>
      </c>
    </row>
    <row r="30" spans="1:5" x14ac:dyDescent="0.6">
      <c r="A30" s="3"/>
      <c r="B30" t="s">
        <v>10</v>
      </c>
      <c r="C30" s="2">
        <f t="shared" si="0"/>
        <v>6.3319133461478518</v>
      </c>
      <c r="D30">
        <v>19.248999999999999</v>
      </c>
      <c r="E30">
        <v>121.883</v>
      </c>
    </row>
    <row r="31" spans="1:5" x14ac:dyDescent="0.6">
      <c r="A31" s="3"/>
      <c r="B31" t="s">
        <v>11</v>
      </c>
      <c r="C31" s="2">
        <f t="shared" si="0"/>
        <v>6.3398179453836141</v>
      </c>
      <c r="D31">
        <v>19.225000000000001</v>
      </c>
      <c r="E31">
        <v>121.883</v>
      </c>
    </row>
    <row r="32" spans="1:5" x14ac:dyDescent="0.6">
      <c r="A32" s="1"/>
    </row>
    <row r="33" spans="1:1" x14ac:dyDescent="0.6">
      <c r="A33" s="1"/>
    </row>
    <row r="34" spans="1:1" x14ac:dyDescent="0.6">
      <c r="A34" s="1"/>
    </row>
    <row r="35" spans="1:1" x14ac:dyDescent="0.6">
      <c r="A35" s="1"/>
    </row>
    <row r="36" spans="1:1" x14ac:dyDescent="0.6">
      <c r="A36" s="1"/>
    </row>
  </sheetData>
  <mergeCells count="5">
    <mergeCell ref="A2:A7"/>
    <mergeCell ref="A8:A13"/>
    <mergeCell ref="A14:A19"/>
    <mergeCell ref="A20:A25"/>
    <mergeCell ref="A26:A3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DA1B-DE0D-4F64-9F47-089F8379BD9C}">
  <dimension ref="A1:E36"/>
  <sheetViews>
    <sheetView workbookViewId="0">
      <selection activeCell="A26" sqref="A26:A31"/>
    </sheetView>
  </sheetViews>
  <sheetFormatPr defaultRowHeight="18" x14ac:dyDescent="0.6"/>
  <cols>
    <col min="1" max="1" width="14.375" bestFit="1" customWidth="1"/>
    <col min="3" max="4" width="14.3125" bestFit="1" customWidth="1"/>
  </cols>
  <sheetData>
    <row r="1" spans="1:5" x14ac:dyDescent="0.6">
      <c r="A1" t="s">
        <v>0</v>
      </c>
      <c r="B1" t="s">
        <v>1</v>
      </c>
      <c r="C1" t="s">
        <v>13</v>
      </c>
      <c r="D1" t="s">
        <v>14</v>
      </c>
      <c r="E1" t="s">
        <v>15</v>
      </c>
    </row>
    <row r="2" spans="1:5" x14ac:dyDescent="0.6">
      <c r="A2" s="3" t="s">
        <v>3</v>
      </c>
      <c r="B2" t="s">
        <v>12</v>
      </c>
      <c r="C2" s="2">
        <f t="shared" ref="C2:C31" si="0">E2/D2</f>
        <v>1.6516741288689898</v>
      </c>
      <c r="D2">
        <v>205.48</v>
      </c>
      <c r="E2">
        <v>339.38600000000002</v>
      </c>
    </row>
    <row r="3" spans="1:5" x14ac:dyDescent="0.6">
      <c r="A3" s="3"/>
      <c r="B3" t="s">
        <v>7</v>
      </c>
      <c r="C3" s="2">
        <f t="shared" si="0"/>
        <v>2.901454206598217</v>
      </c>
      <c r="D3">
        <v>116.971</v>
      </c>
      <c r="E3">
        <v>339.38600000000002</v>
      </c>
    </row>
    <row r="4" spans="1:5" x14ac:dyDescent="0.6">
      <c r="A4" s="3"/>
      <c r="B4" t="s">
        <v>8</v>
      </c>
      <c r="C4" s="2">
        <f t="shared" si="0"/>
        <v>4.4353167187234543</v>
      </c>
      <c r="D4">
        <v>76.519000000000005</v>
      </c>
      <c r="E4">
        <v>339.38600000000002</v>
      </c>
    </row>
    <row r="5" spans="1:5" x14ac:dyDescent="0.6">
      <c r="A5" s="3"/>
      <c r="B5" t="s">
        <v>9</v>
      </c>
      <c r="C5" s="2">
        <f t="shared" si="0"/>
        <v>4.7176913774169789</v>
      </c>
      <c r="D5">
        <v>71.938999999999993</v>
      </c>
      <c r="E5">
        <v>339.38600000000002</v>
      </c>
    </row>
    <row r="6" spans="1:5" x14ac:dyDescent="0.6">
      <c r="A6" s="3"/>
      <c r="B6" t="s">
        <v>10</v>
      </c>
      <c r="C6" s="2">
        <f t="shared" si="0"/>
        <v>4.7465245727392249</v>
      </c>
      <c r="D6">
        <v>71.501999999999995</v>
      </c>
      <c r="E6">
        <v>339.38600000000002</v>
      </c>
    </row>
    <row r="7" spans="1:5" x14ac:dyDescent="0.6">
      <c r="A7" s="3"/>
      <c r="B7" t="s">
        <v>11</v>
      </c>
      <c r="C7" s="2">
        <f t="shared" si="0"/>
        <v>4.7998246308762802</v>
      </c>
      <c r="D7">
        <v>70.707999999999998</v>
      </c>
      <c r="E7">
        <v>339.38600000000002</v>
      </c>
    </row>
    <row r="8" spans="1:5" x14ac:dyDescent="0.6">
      <c r="A8" s="3" t="s">
        <v>4</v>
      </c>
      <c r="B8" t="s">
        <v>12</v>
      </c>
      <c r="C8" s="2">
        <f t="shared" si="0"/>
        <v>1.731490551406065</v>
      </c>
      <c r="D8">
        <v>196.00800000000001</v>
      </c>
      <c r="E8">
        <v>339.38600000000002</v>
      </c>
    </row>
    <row r="9" spans="1:5" x14ac:dyDescent="0.6">
      <c r="A9" s="3"/>
      <c r="B9" t="s">
        <v>7</v>
      </c>
      <c r="C9" s="2">
        <f t="shared" si="0"/>
        <v>3.0785544529308249</v>
      </c>
      <c r="D9">
        <v>110.242</v>
      </c>
      <c r="E9">
        <v>339.38600000000002</v>
      </c>
    </row>
    <row r="10" spans="1:5" x14ac:dyDescent="0.6">
      <c r="A10" s="3"/>
      <c r="B10" t="s">
        <v>8</v>
      </c>
      <c r="C10" s="2">
        <f t="shared" si="0"/>
        <v>4.9584489962890457</v>
      </c>
      <c r="D10">
        <v>68.445999999999998</v>
      </c>
      <c r="E10">
        <v>339.38600000000002</v>
      </c>
    </row>
    <row r="11" spans="1:5" x14ac:dyDescent="0.6">
      <c r="A11" s="3"/>
      <c r="B11" t="s">
        <v>9</v>
      </c>
      <c r="C11" s="2">
        <f t="shared" si="0"/>
        <v>5.0208000473400798</v>
      </c>
      <c r="D11">
        <v>67.596000000000004</v>
      </c>
      <c r="E11">
        <v>339.38600000000002</v>
      </c>
    </row>
    <row r="12" spans="1:5" x14ac:dyDescent="0.6">
      <c r="A12" s="3"/>
      <c r="B12" t="s">
        <v>10</v>
      </c>
      <c r="C12" s="2">
        <f t="shared" si="0"/>
        <v>5.1211842283955278</v>
      </c>
      <c r="D12">
        <v>66.271000000000001</v>
      </c>
      <c r="E12">
        <v>339.38600000000002</v>
      </c>
    </row>
    <row r="13" spans="1:5" x14ac:dyDescent="0.6">
      <c r="A13" s="3"/>
      <c r="B13" t="s">
        <v>11</v>
      </c>
      <c r="C13" s="2">
        <f t="shared" si="0"/>
        <v>5.0727310773645824</v>
      </c>
      <c r="D13">
        <v>66.903999999999996</v>
      </c>
      <c r="E13">
        <v>339.38600000000002</v>
      </c>
    </row>
    <row r="14" spans="1:5" x14ac:dyDescent="0.6">
      <c r="A14" s="3" t="s">
        <v>5</v>
      </c>
      <c r="B14" t="s">
        <v>12</v>
      </c>
      <c r="C14" s="2">
        <f t="shared" si="0"/>
        <v>1.7333122235727931</v>
      </c>
      <c r="D14">
        <v>195.80199999999999</v>
      </c>
      <c r="E14">
        <v>339.38600000000002</v>
      </c>
    </row>
    <row r="15" spans="1:5" x14ac:dyDescent="0.6">
      <c r="A15" s="3"/>
      <c r="B15" t="s">
        <v>7</v>
      </c>
      <c r="C15" s="2">
        <f t="shared" si="0"/>
        <v>3.0877132329527361</v>
      </c>
      <c r="D15">
        <v>109.91500000000001</v>
      </c>
      <c r="E15">
        <v>339.38600000000002</v>
      </c>
    </row>
    <row r="16" spans="1:5" x14ac:dyDescent="0.6">
      <c r="A16" s="3"/>
      <c r="B16" t="s">
        <v>8</v>
      </c>
      <c r="C16" s="2">
        <f t="shared" si="0"/>
        <v>5.0433322435878392</v>
      </c>
      <c r="D16">
        <v>67.293999999999997</v>
      </c>
      <c r="E16">
        <v>339.38600000000002</v>
      </c>
    </row>
    <row r="17" spans="1:5" x14ac:dyDescent="0.6">
      <c r="A17" s="3"/>
      <c r="B17" t="s">
        <v>9</v>
      </c>
      <c r="C17" s="2">
        <f t="shared" si="0"/>
        <v>5.1696268088347299</v>
      </c>
      <c r="D17">
        <v>65.650000000000006</v>
      </c>
      <c r="E17">
        <v>339.38600000000002</v>
      </c>
    </row>
    <row r="18" spans="1:5" x14ac:dyDescent="0.6">
      <c r="A18" s="3"/>
      <c r="B18" t="s">
        <v>10</v>
      </c>
      <c r="C18" s="2">
        <f t="shared" si="0"/>
        <v>5.1644348408302401</v>
      </c>
      <c r="D18">
        <v>65.715999999999994</v>
      </c>
      <c r="E18">
        <v>339.38600000000002</v>
      </c>
    </row>
    <row r="19" spans="1:5" x14ac:dyDescent="0.6">
      <c r="A19" s="3"/>
      <c r="B19" t="s">
        <v>11</v>
      </c>
      <c r="C19" s="2">
        <f t="shared" si="0"/>
        <v>5.1991666283683386</v>
      </c>
      <c r="D19">
        <v>65.277000000000001</v>
      </c>
      <c r="E19">
        <v>339.38600000000002</v>
      </c>
    </row>
    <row r="20" spans="1:5" x14ac:dyDescent="0.6">
      <c r="A20" s="3" t="s">
        <v>6</v>
      </c>
      <c r="B20" t="s">
        <v>12</v>
      </c>
      <c r="C20" s="2">
        <f t="shared" si="0"/>
        <v>1.6537666894064906</v>
      </c>
      <c r="D20">
        <v>205.22</v>
      </c>
      <c r="E20">
        <v>339.38600000000002</v>
      </c>
    </row>
    <row r="21" spans="1:5" x14ac:dyDescent="0.6">
      <c r="A21" s="3"/>
      <c r="B21" t="s">
        <v>7</v>
      </c>
      <c r="C21" s="2">
        <f t="shared" si="0"/>
        <v>3.0146742702837144</v>
      </c>
      <c r="D21">
        <v>112.578</v>
      </c>
      <c r="E21">
        <v>339.38600000000002</v>
      </c>
    </row>
    <row r="22" spans="1:5" x14ac:dyDescent="0.6">
      <c r="A22" s="3"/>
      <c r="B22" t="s">
        <v>8</v>
      </c>
      <c r="C22" s="2">
        <f t="shared" si="0"/>
        <v>4.8682617551711278</v>
      </c>
      <c r="D22">
        <v>69.713999999999999</v>
      </c>
      <c r="E22">
        <v>339.38600000000002</v>
      </c>
    </row>
    <row r="23" spans="1:5" x14ac:dyDescent="0.6">
      <c r="A23" s="3"/>
      <c r="B23" t="s">
        <v>9</v>
      </c>
      <c r="C23" s="2">
        <f t="shared" si="0"/>
        <v>5.1001743207501811</v>
      </c>
      <c r="D23">
        <v>66.543999999999997</v>
      </c>
      <c r="E23">
        <v>339.38600000000002</v>
      </c>
    </row>
    <row r="24" spans="1:5" x14ac:dyDescent="0.6">
      <c r="A24" s="3"/>
      <c r="B24" t="s">
        <v>10</v>
      </c>
      <c r="C24" s="2">
        <f t="shared" si="0"/>
        <v>5.2578041487861933</v>
      </c>
      <c r="D24">
        <v>64.549000000000007</v>
      </c>
      <c r="E24">
        <v>339.38600000000002</v>
      </c>
    </row>
    <row r="25" spans="1:5" x14ac:dyDescent="0.6">
      <c r="A25" s="3"/>
      <c r="B25" t="s">
        <v>11</v>
      </c>
      <c r="C25" s="2">
        <f t="shared" si="0"/>
        <v>5.2288042892137989</v>
      </c>
      <c r="D25">
        <v>64.906999999999996</v>
      </c>
      <c r="E25">
        <v>339.38600000000002</v>
      </c>
    </row>
    <row r="26" spans="1:5" x14ac:dyDescent="0.6">
      <c r="A26" s="3" t="s">
        <v>2</v>
      </c>
      <c r="B26" t="s">
        <v>12</v>
      </c>
      <c r="C26" s="2">
        <f t="shared" si="0"/>
        <v>1.7452471678416976</v>
      </c>
      <c r="D26">
        <v>194.46299999999999</v>
      </c>
      <c r="E26">
        <v>339.38600000000002</v>
      </c>
    </row>
    <row r="27" spans="1:5" x14ac:dyDescent="0.6">
      <c r="A27" s="3"/>
      <c r="B27" t="s">
        <v>7</v>
      </c>
      <c r="C27" s="2">
        <f t="shared" si="0"/>
        <v>3.0981705981158258</v>
      </c>
      <c r="D27">
        <v>109.544</v>
      </c>
      <c r="E27">
        <v>339.38600000000002</v>
      </c>
    </row>
    <row r="28" spans="1:5" x14ac:dyDescent="0.6">
      <c r="A28" s="3"/>
      <c r="B28" t="s">
        <v>8</v>
      </c>
      <c r="C28" s="2">
        <f t="shared" si="0"/>
        <v>5.0651602889379737</v>
      </c>
      <c r="D28">
        <v>67.004000000000005</v>
      </c>
      <c r="E28">
        <v>339.38600000000002</v>
      </c>
    </row>
    <row r="29" spans="1:5" x14ac:dyDescent="0.6">
      <c r="A29" s="3"/>
      <c r="B29" t="s">
        <v>9</v>
      </c>
      <c r="C29" s="2">
        <f t="shared" si="0"/>
        <v>5.03114576693301</v>
      </c>
      <c r="D29">
        <v>67.456999999999994</v>
      </c>
      <c r="E29">
        <v>339.38600000000002</v>
      </c>
    </row>
    <row r="30" spans="1:5" x14ac:dyDescent="0.6">
      <c r="A30" s="3"/>
      <c r="B30" t="s">
        <v>10</v>
      </c>
      <c r="C30" s="2">
        <f t="shared" si="0"/>
        <v>5.1979721864853277</v>
      </c>
      <c r="D30">
        <v>65.292000000000002</v>
      </c>
      <c r="E30">
        <v>339.38600000000002</v>
      </c>
    </row>
    <row r="31" spans="1:5" x14ac:dyDescent="0.6">
      <c r="A31" s="3"/>
      <c r="B31" t="s">
        <v>11</v>
      </c>
      <c r="C31" s="2">
        <f t="shared" si="0"/>
        <v>5.2808750991955442</v>
      </c>
      <c r="D31">
        <v>64.266999999999996</v>
      </c>
      <c r="E31">
        <v>339.38600000000002</v>
      </c>
    </row>
    <row r="32" spans="1:5" x14ac:dyDescent="0.6">
      <c r="A32" s="1"/>
    </row>
    <row r="33" spans="1:1" x14ac:dyDescent="0.6">
      <c r="A33" s="1"/>
    </row>
    <row r="34" spans="1:1" x14ac:dyDescent="0.6">
      <c r="A34" s="1"/>
    </row>
    <row r="35" spans="1:1" x14ac:dyDescent="0.6">
      <c r="A35" s="1"/>
    </row>
    <row r="36" spans="1:1" x14ac:dyDescent="0.6">
      <c r="A36" s="1"/>
    </row>
  </sheetData>
  <mergeCells count="5">
    <mergeCell ref="A2:A7"/>
    <mergeCell ref="A8:A13"/>
    <mergeCell ref="A14:A19"/>
    <mergeCell ref="A20:A25"/>
    <mergeCell ref="A26:A3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E418-D0C7-410C-BA33-56560231C106}">
  <dimension ref="A1:E36"/>
  <sheetViews>
    <sheetView workbookViewId="0">
      <selection activeCell="A26" sqref="A26:A31"/>
    </sheetView>
  </sheetViews>
  <sheetFormatPr defaultRowHeight="18" x14ac:dyDescent="0.6"/>
  <cols>
    <col min="1" max="1" width="14.375" bestFit="1" customWidth="1"/>
    <col min="3" max="4" width="14.3125" bestFit="1" customWidth="1"/>
  </cols>
  <sheetData>
    <row r="1" spans="1:5" x14ac:dyDescent="0.6">
      <c r="A1" t="s">
        <v>0</v>
      </c>
      <c r="B1" t="s">
        <v>1</v>
      </c>
      <c r="C1" t="s">
        <v>13</v>
      </c>
      <c r="D1" t="s">
        <v>14</v>
      </c>
      <c r="E1" t="s">
        <v>15</v>
      </c>
    </row>
    <row r="2" spans="1:5" x14ac:dyDescent="0.6">
      <c r="A2" s="3" t="s">
        <v>3</v>
      </c>
      <c r="B2" t="s">
        <v>12</v>
      </c>
      <c r="C2" s="2">
        <f t="shared" ref="C2:C31" si="0">E2/D2</f>
        <v>1.6178757725566599</v>
      </c>
      <c r="D2">
        <v>300.78699999999998</v>
      </c>
      <c r="E2">
        <v>486.63600000000002</v>
      </c>
    </row>
    <row r="3" spans="1:5" x14ac:dyDescent="0.6">
      <c r="A3" s="3"/>
      <c r="B3" t="s">
        <v>7</v>
      </c>
      <c r="C3" s="2">
        <f t="shared" si="0"/>
        <v>2.870873351110272</v>
      </c>
      <c r="D3">
        <v>169.50800000000001</v>
      </c>
      <c r="E3">
        <v>486.63600000000002</v>
      </c>
    </row>
    <row r="4" spans="1:5" x14ac:dyDescent="0.6">
      <c r="A4" s="3"/>
      <c r="B4" t="s">
        <v>8</v>
      </c>
      <c r="C4" s="2">
        <f t="shared" si="0"/>
        <v>4.405779781628552</v>
      </c>
      <c r="D4">
        <v>110.45399999999999</v>
      </c>
      <c r="E4">
        <v>486.63600000000002</v>
      </c>
    </row>
    <row r="5" spans="1:5" x14ac:dyDescent="0.6">
      <c r="A5" s="3"/>
      <c r="B5" t="s">
        <v>9</v>
      </c>
      <c r="C5" s="2">
        <f t="shared" si="0"/>
        <v>4.6813529321225182</v>
      </c>
      <c r="D5">
        <v>103.952</v>
      </c>
      <c r="E5">
        <v>486.63600000000002</v>
      </c>
    </row>
    <row r="6" spans="1:5" x14ac:dyDescent="0.6">
      <c r="A6" s="3"/>
      <c r="B6" t="s">
        <v>10</v>
      </c>
      <c r="C6" s="2">
        <f t="shared" si="0"/>
        <v>4.7089401314070622</v>
      </c>
      <c r="D6">
        <v>103.343</v>
      </c>
      <c r="E6">
        <v>486.63600000000002</v>
      </c>
    </row>
    <row r="7" spans="1:5" x14ac:dyDescent="0.6">
      <c r="A7" s="3"/>
      <c r="B7" t="s">
        <v>11</v>
      </c>
      <c r="C7" s="2">
        <f t="shared" si="0"/>
        <v>4.822857822441577</v>
      </c>
      <c r="D7">
        <v>100.902</v>
      </c>
      <c r="E7">
        <v>486.63600000000002</v>
      </c>
    </row>
    <row r="8" spans="1:5" x14ac:dyDescent="0.6">
      <c r="A8" s="3" t="s">
        <v>4</v>
      </c>
      <c r="B8" t="s">
        <v>12</v>
      </c>
      <c r="C8" s="2">
        <f t="shared" si="0"/>
        <v>1.7107180898746057</v>
      </c>
      <c r="D8">
        <v>284.46300000000002</v>
      </c>
      <c r="E8">
        <v>486.63600000000002</v>
      </c>
    </row>
    <row r="9" spans="1:5" x14ac:dyDescent="0.6">
      <c r="A9" s="3"/>
      <c r="B9" t="s">
        <v>7</v>
      </c>
      <c r="C9" s="2">
        <f t="shared" si="0"/>
        <v>2.9404698602987382</v>
      </c>
      <c r="D9">
        <v>165.49600000000001</v>
      </c>
      <c r="E9">
        <v>486.63600000000002</v>
      </c>
    </row>
    <row r="10" spans="1:5" x14ac:dyDescent="0.6">
      <c r="A10" s="3"/>
      <c r="B10" t="s">
        <v>8</v>
      </c>
      <c r="C10" s="2">
        <f t="shared" si="0"/>
        <v>4.7450295932993365</v>
      </c>
      <c r="D10">
        <v>102.557</v>
      </c>
      <c r="E10">
        <v>486.63600000000002</v>
      </c>
    </row>
    <row r="11" spans="1:5" x14ac:dyDescent="0.6">
      <c r="A11" s="3"/>
      <c r="B11" t="s">
        <v>9</v>
      </c>
      <c r="C11" s="2">
        <f t="shared" si="0"/>
        <v>4.7845913341002273</v>
      </c>
      <c r="D11">
        <v>101.709</v>
      </c>
      <c r="E11">
        <v>486.63600000000002</v>
      </c>
    </row>
    <row r="12" spans="1:5" x14ac:dyDescent="0.6">
      <c r="A12" s="3"/>
      <c r="B12" t="s">
        <v>10</v>
      </c>
      <c r="C12" s="2">
        <f t="shared" si="0"/>
        <v>4.9933918896732887</v>
      </c>
      <c r="D12">
        <v>97.456000000000003</v>
      </c>
      <c r="E12">
        <v>486.63600000000002</v>
      </c>
    </row>
    <row r="13" spans="1:5" x14ac:dyDescent="0.6">
      <c r="A13" s="3"/>
      <c r="B13" t="s">
        <v>11</v>
      </c>
      <c r="C13" s="2">
        <f t="shared" si="0"/>
        <v>5.0990821073808625</v>
      </c>
      <c r="D13">
        <v>95.436000000000007</v>
      </c>
      <c r="E13">
        <v>486.63600000000002</v>
      </c>
    </row>
    <row r="14" spans="1:5" x14ac:dyDescent="0.6">
      <c r="A14" s="3" t="s">
        <v>5</v>
      </c>
      <c r="B14" t="s">
        <v>12</v>
      </c>
      <c r="C14" s="2">
        <f t="shared" si="0"/>
        <v>1.7291423860826061</v>
      </c>
      <c r="D14">
        <v>281.43200000000002</v>
      </c>
      <c r="E14">
        <v>486.63600000000002</v>
      </c>
    </row>
    <row r="15" spans="1:5" x14ac:dyDescent="0.6">
      <c r="A15" s="3"/>
      <c r="B15" t="s">
        <v>7</v>
      </c>
      <c r="C15" s="2">
        <f t="shared" si="0"/>
        <v>3.0006289385736662</v>
      </c>
      <c r="D15">
        <v>162.178</v>
      </c>
      <c r="E15">
        <v>486.63600000000002</v>
      </c>
    </row>
    <row r="16" spans="1:5" x14ac:dyDescent="0.6">
      <c r="A16" s="3"/>
      <c r="B16" t="s">
        <v>8</v>
      </c>
      <c r="C16" s="2">
        <f t="shared" si="0"/>
        <v>4.6978028343051328</v>
      </c>
      <c r="D16">
        <v>103.58799999999999</v>
      </c>
      <c r="E16">
        <v>486.63600000000002</v>
      </c>
    </row>
    <row r="17" spans="1:5" x14ac:dyDescent="0.6">
      <c r="A17" s="3"/>
      <c r="B17" t="s">
        <v>9</v>
      </c>
      <c r="C17" s="2">
        <f t="shared" si="0"/>
        <v>4.9282589321882853</v>
      </c>
      <c r="D17">
        <v>98.744</v>
      </c>
      <c r="E17">
        <v>486.63600000000002</v>
      </c>
    </row>
    <row r="18" spans="1:5" x14ac:dyDescent="0.6">
      <c r="A18" s="3"/>
      <c r="B18" t="s">
        <v>10</v>
      </c>
      <c r="C18" s="2">
        <f t="shared" si="0"/>
        <v>5.0595855730341759</v>
      </c>
      <c r="D18">
        <v>96.180999999999997</v>
      </c>
      <c r="E18">
        <v>486.63600000000002</v>
      </c>
    </row>
    <row r="19" spans="1:5" x14ac:dyDescent="0.6">
      <c r="A19" s="3"/>
      <c r="B19" t="s">
        <v>11</v>
      </c>
      <c r="C19" s="2">
        <f t="shared" si="0"/>
        <v>5.2394056847545221</v>
      </c>
      <c r="D19">
        <v>92.88</v>
      </c>
      <c r="E19">
        <v>486.63600000000002</v>
      </c>
    </row>
    <row r="20" spans="1:5" x14ac:dyDescent="0.6">
      <c r="A20" s="3" t="s">
        <v>6</v>
      </c>
      <c r="B20" t="s">
        <v>12</v>
      </c>
      <c r="C20" s="2">
        <f t="shared" si="0"/>
        <v>1.6205588616299633</v>
      </c>
      <c r="D20">
        <v>300.28899999999999</v>
      </c>
      <c r="E20">
        <v>486.63600000000002</v>
      </c>
    </row>
    <row r="21" spans="1:5" x14ac:dyDescent="0.6">
      <c r="A21" s="3"/>
      <c r="B21" t="s">
        <v>7</v>
      </c>
      <c r="C21" s="2">
        <f t="shared" si="0"/>
        <v>2.9428882438316402</v>
      </c>
      <c r="D21">
        <v>165.36</v>
      </c>
      <c r="E21">
        <v>486.63600000000002</v>
      </c>
    </row>
    <row r="22" spans="1:5" x14ac:dyDescent="0.6">
      <c r="A22" s="3"/>
      <c r="B22" t="s">
        <v>8</v>
      </c>
      <c r="C22" s="2">
        <f t="shared" si="0"/>
        <v>4.7422551818899406</v>
      </c>
      <c r="D22">
        <v>102.617</v>
      </c>
      <c r="E22">
        <v>486.63600000000002</v>
      </c>
    </row>
    <row r="23" spans="1:5" x14ac:dyDescent="0.6">
      <c r="A23" s="3"/>
      <c r="B23" t="s">
        <v>9</v>
      </c>
      <c r="C23" s="2">
        <f t="shared" si="0"/>
        <v>4.9207838695977513</v>
      </c>
      <c r="D23">
        <v>98.894000000000005</v>
      </c>
      <c r="E23">
        <v>486.63600000000002</v>
      </c>
    </row>
    <row r="24" spans="1:5" x14ac:dyDescent="0.6">
      <c r="A24" s="3"/>
      <c r="B24" t="s">
        <v>10</v>
      </c>
      <c r="C24" s="2">
        <f t="shared" si="0"/>
        <v>5.0273352755222218</v>
      </c>
      <c r="D24">
        <v>96.798000000000002</v>
      </c>
      <c r="E24">
        <v>486.63600000000002</v>
      </c>
    </row>
    <row r="25" spans="1:5" x14ac:dyDescent="0.6">
      <c r="A25" s="3"/>
      <c r="B25" t="s">
        <v>11</v>
      </c>
      <c r="C25" s="2">
        <f t="shared" si="0"/>
        <v>5.0872483221476514</v>
      </c>
      <c r="D25">
        <v>95.658000000000001</v>
      </c>
      <c r="E25">
        <v>486.63600000000002</v>
      </c>
    </row>
    <row r="26" spans="1:5" x14ac:dyDescent="0.6">
      <c r="A26" s="3" t="s">
        <v>2</v>
      </c>
      <c r="B26" t="s">
        <v>12</v>
      </c>
      <c r="C26" s="2">
        <f t="shared" si="0"/>
        <v>1.7259227470855487</v>
      </c>
      <c r="D26">
        <v>281.95699999999999</v>
      </c>
      <c r="E26">
        <v>486.63600000000002</v>
      </c>
    </row>
    <row r="27" spans="1:5" x14ac:dyDescent="0.6">
      <c r="A27" s="3"/>
      <c r="B27" t="s">
        <v>7</v>
      </c>
      <c r="C27" s="2">
        <f t="shared" si="0"/>
        <v>2.9402388993951996</v>
      </c>
      <c r="D27">
        <v>165.50899999999999</v>
      </c>
      <c r="E27">
        <v>486.63600000000002</v>
      </c>
    </row>
    <row r="28" spans="1:5" x14ac:dyDescent="0.6">
      <c r="A28" s="3"/>
      <c r="B28" t="s">
        <v>8</v>
      </c>
      <c r="C28" s="2">
        <f t="shared" si="0"/>
        <v>4.7606730581099592</v>
      </c>
      <c r="D28">
        <v>102.22</v>
      </c>
      <c r="E28">
        <v>486.63600000000002</v>
      </c>
    </row>
    <row r="29" spans="1:5" x14ac:dyDescent="0.6">
      <c r="A29" s="3"/>
      <c r="B29" t="s">
        <v>9</v>
      </c>
      <c r="C29" s="2">
        <f t="shared" si="0"/>
        <v>4.9418718011211311</v>
      </c>
      <c r="D29">
        <v>98.471999999999994</v>
      </c>
      <c r="E29">
        <v>486.63600000000002</v>
      </c>
    </row>
    <row r="30" spans="1:5" x14ac:dyDescent="0.6">
      <c r="A30" s="3"/>
      <c r="B30" t="s">
        <v>10</v>
      </c>
      <c r="C30" s="2">
        <f t="shared" si="0"/>
        <v>5.0883121771680715</v>
      </c>
      <c r="D30">
        <v>95.638000000000005</v>
      </c>
      <c r="E30">
        <v>486.63600000000002</v>
      </c>
    </row>
    <row r="31" spans="1:5" x14ac:dyDescent="0.6">
      <c r="A31" s="3"/>
      <c r="B31" t="s">
        <v>11</v>
      </c>
      <c r="C31" s="2">
        <f t="shared" si="0"/>
        <v>5.021421495789995</v>
      </c>
      <c r="D31">
        <v>96.912000000000006</v>
      </c>
      <c r="E31">
        <v>486.63600000000002</v>
      </c>
    </row>
    <row r="32" spans="1:5" x14ac:dyDescent="0.6">
      <c r="A32" s="1"/>
    </row>
    <row r="33" spans="1:1" x14ac:dyDescent="0.6">
      <c r="A33" s="1"/>
    </row>
    <row r="34" spans="1:1" x14ac:dyDescent="0.6">
      <c r="A34" s="1"/>
    </row>
    <row r="35" spans="1:1" x14ac:dyDescent="0.6">
      <c r="A35" s="1"/>
    </row>
    <row r="36" spans="1:1" x14ac:dyDescent="0.6">
      <c r="A36" s="1"/>
    </row>
  </sheetData>
  <mergeCells count="5">
    <mergeCell ref="A2:A7"/>
    <mergeCell ref="A8:A13"/>
    <mergeCell ref="A14:A19"/>
    <mergeCell ref="A20:A25"/>
    <mergeCell ref="A26:A3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9E00-BCA2-4D3A-B6F4-A3E1BEBA3CAD}">
  <dimension ref="A1:E36"/>
  <sheetViews>
    <sheetView workbookViewId="0">
      <selection activeCell="A26" sqref="A26:A31"/>
    </sheetView>
  </sheetViews>
  <sheetFormatPr defaultRowHeight="18" x14ac:dyDescent="0.6"/>
  <cols>
    <col min="1" max="1" width="14.375" bestFit="1" customWidth="1"/>
    <col min="3" max="4" width="14.3125" bestFit="1" customWidth="1"/>
  </cols>
  <sheetData>
    <row r="1" spans="1:5" x14ac:dyDescent="0.6">
      <c r="A1" t="s">
        <v>0</v>
      </c>
      <c r="B1" t="s">
        <v>1</v>
      </c>
      <c r="C1" t="s">
        <v>13</v>
      </c>
      <c r="D1" t="s">
        <v>14</v>
      </c>
      <c r="E1" t="s">
        <v>15</v>
      </c>
    </row>
    <row r="2" spans="1:5" x14ac:dyDescent="0.6">
      <c r="A2" s="3" t="s">
        <v>3</v>
      </c>
      <c r="B2" t="s">
        <v>12</v>
      </c>
      <c r="C2" s="2">
        <f t="shared" ref="C2:C31" si="0">E2/D2</f>
        <v>1.7796203959912669</v>
      </c>
      <c r="D2">
        <v>585.82100000000003</v>
      </c>
      <c r="E2">
        <v>1042.539</v>
      </c>
    </row>
    <row r="3" spans="1:5" x14ac:dyDescent="0.6">
      <c r="A3" s="3"/>
      <c r="B3" t="s">
        <v>7</v>
      </c>
      <c r="C3" s="2">
        <f t="shared" si="0"/>
        <v>3.3482427601977074</v>
      </c>
      <c r="D3">
        <v>311.36900000000003</v>
      </c>
      <c r="E3">
        <v>1042.539</v>
      </c>
    </row>
    <row r="4" spans="1:5" x14ac:dyDescent="0.6">
      <c r="A4" s="3"/>
      <c r="B4" t="s">
        <v>8</v>
      </c>
      <c r="C4" s="2">
        <f t="shared" si="0"/>
        <v>5.6665271602656784</v>
      </c>
      <c r="D4">
        <v>183.982</v>
      </c>
      <c r="E4">
        <v>1042.539</v>
      </c>
    </row>
    <row r="5" spans="1:5" x14ac:dyDescent="0.6">
      <c r="A5" s="3"/>
      <c r="B5" t="s">
        <v>9</v>
      </c>
      <c r="C5" s="2">
        <f t="shared" si="0"/>
        <v>6.4721011658658325</v>
      </c>
      <c r="D5">
        <v>161.08199999999999</v>
      </c>
      <c r="E5">
        <v>1042.539</v>
      </c>
    </row>
    <row r="6" spans="1:5" x14ac:dyDescent="0.6">
      <c r="A6" s="3"/>
      <c r="B6" t="s">
        <v>10</v>
      </c>
      <c r="C6" s="2">
        <f t="shared" si="0"/>
        <v>7.2348299791811241</v>
      </c>
      <c r="D6">
        <v>144.1</v>
      </c>
      <c r="E6">
        <v>1042.539</v>
      </c>
    </row>
    <row r="7" spans="1:5" x14ac:dyDescent="0.6">
      <c r="A7" s="3"/>
      <c r="B7" t="s">
        <v>11</v>
      </c>
      <c r="C7" s="2">
        <f t="shared" si="0"/>
        <v>7.2805544886343796</v>
      </c>
      <c r="D7">
        <v>143.19499999999999</v>
      </c>
      <c r="E7">
        <v>1042.539</v>
      </c>
    </row>
    <row r="8" spans="1:5" x14ac:dyDescent="0.6">
      <c r="A8" s="3" t="s">
        <v>4</v>
      </c>
      <c r="B8" t="s">
        <v>12</v>
      </c>
      <c r="C8" s="2">
        <f t="shared" si="0"/>
        <v>1.8033793285971533</v>
      </c>
      <c r="D8">
        <v>578.10299999999995</v>
      </c>
      <c r="E8">
        <v>1042.539</v>
      </c>
    </row>
    <row r="9" spans="1:5" x14ac:dyDescent="0.6">
      <c r="A9" s="3"/>
      <c r="B9" t="s">
        <v>7</v>
      </c>
      <c r="C9" s="2">
        <f t="shared" si="0"/>
        <v>3.3439791381998036</v>
      </c>
      <c r="D9">
        <v>311.76600000000002</v>
      </c>
      <c r="E9">
        <v>1042.539</v>
      </c>
    </row>
    <row r="10" spans="1:5" x14ac:dyDescent="0.6">
      <c r="A10" s="3"/>
      <c r="B10" t="s">
        <v>8</v>
      </c>
      <c r="C10" s="2">
        <f t="shared" si="0"/>
        <v>5.8706148007162726</v>
      </c>
      <c r="D10">
        <v>177.58600000000001</v>
      </c>
      <c r="E10">
        <v>1042.539</v>
      </c>
    </row>
    <row r="11" spans="1:5" x14ac:dyDescent="0.6">
      <c r="A11" s="3"/>
      <c r="B11" t="s">
        <v>9</v>
      </c>
      <c r="C11" s="2">
        <f t="shared" si="0"/>
        <v>6.7844922396121436</v>
      </c>
      <c r="D11">
        <v>153.66499999999999</v>
      </c>
      <c r="E11">
        <v>1042.539</v>
      </c>
    </row>
    <row r="12" spans="1:5" x14ac:dyDescent="0.6">
      <c r="A12" s="3"/>
      <c r="B12" t="s">
        <v>10</v>
      </c>
      <c r="C12" s="2">
        <f t="shared" si="0"/>
        <v>7.4780079475518964</v>
      </c>
      <c r="D12">
        <v>139.41399999999999</v>
      </c>
      <c r="E12">
        <v>1042.539</v>
      </c>
    </row>
    <row r="13" spans="1:5" x14ac:dyDescent="0.6">
      <c r="A13" s="3"/>
      <c r="B13" t="s">
        <v>11</v>
      </c>
      <c r="C13" s="2">
        <f t="shared" si="0"/>
        <v>7.9720663128756479</v>
      </c>
      <c r="D13">
        <v>130.774</v>
      </c>
      <c r="E13">
        <v>1042.539</v>
      </c>
    </row>
    <row r="14" spans="1:5" x14ac:dyDescent="0.6">
      <c r="A14" s="3" t="s">
        <v>5</v>
      </c>
      <c r="B14" t="s">
        <v>12</v>
      </c>
      <c r="C14" s="2">
        <f t="shared" si="0"/>
        <v>1.7348874903066267</v>
      </c>
      <c r="D14">
        <v>600.92600000000004</v>
      </c>
      <c r="E14">
        <v>1042.539</v>
      </c>
    </row>
    <row r="15" spans="1:5" x14ac:dyDescent="0.6">
      <c r="A15" s="3"/>
      <c r="B15" t="s">
        <v>7</v>
      </c>
      <c r="C15" s="2">
        <f t="shared" si="0"/>
        <v>3.2265661026705992</v>
      </c>
      <c r="D15">
        <v>323.11099999999999</v>
      </c>
      <c r="E15">
        <v>1042.539</v>
      </c>
    </row>
    <row r="16" spans="1:5" x14ac:dyDescent="0.6">
      <c r="A16" s="3"/>
      <c r="B16" t="s">
        <v>8</v>
      </c>
      <c r="C16" s="2">
        <f t="shared" si="0"/>
        <v>5.6889139901123</v>
      </c>
      <c r="D16">
        <v>183.25800000000001</v>
      </c>
      <c r="E16">
        <v>1042.539</v>
      </c>
    </row>
    <row r="17" spans="1:5" x14ac:dyDescent="0.6">
      <c r="A17" s="3"/>
      <c r="B17" t="s">
        <v>9</v>
      </c>
      <c r="C17" s="2">
        <f t="shared" si="0"/>
        <v>6.5605212980850913</v>
      </c>
      <c r="D17">
        <v>158.911</v>
      </c>
      <c r="E17">
        <v>1042.539</v>
      </c>
    </row>
    <row r="18" spans="1:5" x14ac:dyDescent="0.6">
      <c r="A18" s="3"/>
      <c r="B18" t="s">
        <v>10</v>
      </c>
      <c r="C18" s="2">
        <f t="shared" si="0"/>
        <v>7.4809592491335319</v>
      </c>
      <c r="D18">
        <v>139.35900000000001</v>
      </c>
      <c r="E18">
        <v>1042.539</v>
      </c>
    </row>
    <row r="19" spans="1:5" x14ac:dyDescent="0.6">
      <c r="A19" s="3"/>
      <c r="B19" t="s">
        <v>11</v>
      </c>
      <c r="C19" s="2">
        <f t="shared" si="0"/>
        <v>7.9914377917628032</v>
      </c>
      <c r="D19">
        <v>130.45699999999999</v>
      </c>
      <c r="E19">
        <v>1042.539</v>
      </c>
    </row>
    <row r="20" spans="1:5" x14ac:dyDescent="0.6">
      <c r="A20" s="3" t="s">
        <v>6</v>
      </c>
      <c r="B20" t="s">
        <v>12</v>
      </c>
      <c r="C20" s="2">
        <f t="shared" si="0"/>
        <v>1.735184904705712</v>
      </c>
      <c r="D20">
        <v>600.82299999999998</v>
      </c>
      <c r="E20">
        <v>1042.539</v>
      </c>
    </row>
    <row r="21" spans="1:5" x14ac:dyDescent="0.6">
      <c r="A21" s="3"/>
      <c r="B21" t="s">
        <v>7</v>
      </c>
      <c r="C21" s="2">
        <f t="shared" si="0"/>
        <v>3.2979112428468849</v>
      </c>
      <c r="D21">
        <v>316.12099999999998</v>
      </c>
      <c r="E21">
        <v>1042.539</v>
      </c>
    </row>
    <row r="22" spans="1:5" x14ac:dyDescent="0.6">
      <c r="A22" s="3"/>
      <c r="B22" t="s">
        <v>8</v>
      </c>
      <c r="C22" s="2">
        <f t="shared" si="0"/>
        <v>5.8426167218682217</v>
      </c>
      <c r="D22">
        <v>178.43700000000001</v>
      </c>
      <c r="E22">
        <v>1042.539</v>
      </c>
    </row>
    <row r="23" spans="1:5" x14ac:dyDescent="0.6">
      <c r="A23" s="3"/>
      <c r="B23" t="s">
        <v>9</v>
      </c>
      <c r="C23" s="2">
        <f t="shared" si="0"/>
        <v>6.8666245134264656</v>
      </c>
      <c r="D23">
        <v>151.827</v>
      </c>
      <c r="E23">
        <v>1042.539</v>
      </c>
    </row>
    <row r="24" spans="1:5" x14ac:dyDescent="0.6">
      <c r="A24" s="3"/>
      <c r="B24" t="s">
        <v>10</v>
      </c>
      <c r="C24" s="2">
        <f t="shared" si="0"/>
        <v>7.7349443179035937</v>
      </c>
      <c r="D24">
        <v>134.78299999999999</v>
      </c>
      <c r="E24">
        <v>1042.539</v>
      </c>
    </row>
    <row r="25" spans="1:5" x14ac:dyDescent="0.6">
      <c r="A25" s="3"/>
      <c r="B25" t="s">
        <v>11</v>
      </c>
      <c r="C25" s="2">
        <f t="shared" si="0"/>
        <v>8.3878206159688471</v>
      </c>
      <c r="D25">
        <v>124.292</v>
      </c>
      <c r="E25">
        <v>1042.539</v>
      </c>
    </row>
    <row r="26" spans="1:5" x14ac:dyDescent="0.6">
      <c r="A26" s="3" t="s">
        <v>2</v>
      </c>
      <c r="B26" t="s">
        <v>12</v>
      </c>
      <c r="C26" s="2">
        <f t="shared" si="0"/>
        <v>1.7344891725340397</v>
      </c>
      <c r="D26">
        <v>601.06399999999996</v>
      </c>
      <c r="E26">
        <v>1042.539</v>
      </c>
    </row>
    <row r="27" spans="1:5" x14ac:dyDescent="0.6">
      <c r="A27" s="3"/>
      <c r="B27" t="s">
        <v>7</v>
      </c>
      <c r="C27" s="2">
        <f t="shared" si="0"/>
        <v>3.274645299292954</v>
      </c>
      <c r="D27">
        <v>318.36700000000002</v>
      </c>
      <c r="E27">
        <v>1042.539</v>
      </c>
    </row>
    <row r="28" spans="1:5" x14ac:dyDescent="0.6">
      <c r="A28" s="3"/>
      <c r="B28" t="s">
        <v>8</v>
      </c>
      <c r="C28" s="2">
        <f t="shared" si="0"/>
        <v>5.6182482499205122</v>
      </c>
      <c r="D28">
        <v>185.56299999999999</v>
      </c>
      <c r="E28">
        <v>1042.539</v>
      </c>
    </row>
    <row r="29" spans="1:5" x14ac:dyDescent="0.6">
      <c r="A29" s="3"/>
      <c r="B29" t="s">
        <v>9</v>
      </c>
      <c r="C29" s="2">
        <f t="shared" si="0"/>
        <v>6.6090564458870071</v>
      </c>
      <c r="D29">
        <v>157.744</v>
      </c>
      <c r="E29">
        <v>1042.539</v>
      </c>
    </row>
    <row r="30" spans="1:5" x14ac:dyDescent="0.6">
      <c r="A30" s="3"/>
      <c r="B30" t="s">
        <v>10</v>
      </c>
      <c r="C30" s="2">
        <f t="shared" si="0"/>
        <v>7.3743333286177091</v>
      </c>
      <c r="D30">
        <v>141.374</v>
      </c>
      <c r="E30">
        <v>1042.539</v>
      </c>
    </row>
    <row r="31" spans="1:5" x14ac:dyDescent="0.6">
      <c r="A31" s="3"/>
      <c r="B31" t="s">
        <v>11</v>
      </c>
      <c r="C31" s="2">
        <f t="shared" si="0"/>
        <v>7.9792050942544215</v>
      </c>
      <c r="D31">
        <v>130.65700000000001</v>
      </c>
      <c r="E31">
        <v>1042.539</v>
      </c>
    </row>
    <row r="32" spans="1:5" x14ac:dyDescent="0.6">
      <c r="A32" s="4"/>
    </row>
    <row r="33" spans="1:1" x14ac:dyDescent="0.6">
      <c r="A33" s="4"/>
    </row>
    <row r="34" spans="1:1" x14ac:dyDescent="0.6">
      <c r="A34" s="4"/>
    </row>
    <row r="35" spans="1:1" x14ac:dyDescent="0.6">
      <c r="A35" s="4"/>
    </row>
    <row r="36" spans="1:1" x14ac:dyDescent="0.6">
      <c r="A36" s="4"/>
    </row>
  </sheetData>
  <mergeCells count="5">
    <mergeCell ref="A2:A7"/>
    <mergeCell ref="A8:A13"/>
    <mergeCell ref="A14:A19"/>
    <mergeCell ref="A20:A25"/>
    <mergeCell ref="A26:A3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FEAC-8591-4D1D-A2B8-FCEE8CB0B455}">
  <dimension ref="A1:E36"/>
  <sheetViews>
    <sheetView workbookViewId="0">
      <selection activeCell="A26" sqref="A26:A31"/>
    </sheetView>
  </sheetViews>
  <sheetFormatPr defaultRowHeight="18" x14ac:dyDescent="0.6"/>
  <cols>
    <col min="1" max="1" width="14.375" bestFit="1" customWidth="1"/>
    <col min="3" max="4" width="14.3125" bestFit="1" customWidth="1"/>
  </cols>
  <sheetData>
    <row r="1" spans="1:5" x14ac:dyDescent="0.6">
      <c r="A1" t="s">
        <v>0</v>
      </c>
      <c r="B1" t="s">
        <v>1</v>
      </c>
      <c r="C1" t="s">
        <v>13</v>
      </c>
      <c r="D1" t="s">
        <v>14</v>
      </c>
      <c r="E1" t="s">
        <v>15</v>
      </c>
    </row>
    <row r="2" spans="1:5" x14ac:dyDescent="0.6">
      <c r="A2" s="3" t="s">
        <v>3</v>
      </c>
      <c r="B2" t="s">
        <v>12</v>
      </c>
      <c r="C2" s="2">
        <f t="shared" ref="C2:C31" si="0">E2/D2</f>
        <v>1.7377343160337504</v>
      </c>
      <c r="D2">
        <v>1420.3040000000001</v>
      </c>
      <c r="E2">
        <v>2468.1109999999999</v>
      </c>
    </row>
    <row r="3" spans="1:5" x14ac:dyDescent="0.6">
      <c r="A3" s="3"/>
      <c r="B3" t="s">
        <v>7</v>
      </c>
      <c r="C3" s="2">
        <f t="shared" si="0"/>
        <v>3.1995175012736565</v>
      </c>
      <c r="D3">
        <v>771.40099999999995</v>
      </c>
      <c r="E3">
        <v>2468.1109999999999</v>
      </c>
    </row>
    <row r="4" spans="1:5" x14ac:dyDescent="0.6">
      <c r="A4" s="3"/>
      <c r="B4" t="s">
        <v>8</v>
      </c>
      <c r="C4" s="2">
        <f t="shared" si="0"/>
        <v>4.9888544140684212</v>
      </c>
      <c r="D4">
        <v>494.72500000000002</v>
      </c>
      <c r="E4">
        <v>2468.1109999999999</v>
      </c>
    </row>
    <row r="5" spans="1:5" x14ac:dyDescent="0.6">
      <c r="A5" s="3"/>
      <c r="B5" t="s">
        <v>9</v>
      </c>
      <c r="C5" s="2">
        <f t="shared" si="0"/>
        <v>5.875909141770169</v>
      </c>
      <c r="D5">
        <v>420.03899999999999</v>
      </c>
      <c r="E5">
        <v>2468.1109999999999</v>
      </c>
    </row>
    <row r="6" spans="1:5" x14ac:dyDescent="0.6">
      <c r="A6" s="3"/>
      <c r="B6" t="s">
        <v>10</v>
      </c>
      <c r="C6" s="2">
        <f t="shared" si="0"/>
        <v>6.5177725431373688</v>
      </c>
      <c r="D6">
        <v>378.67399999999998</v>
      </c>
      <c r="E6">
        <v>2468.1109999999999</v>
      </c>
    </row>
    <row r="7" spans="1:5" x14ac:dyDescent="0.6">
      <c r="A7" s="3"/>
      <c r="B7" t="s">
        <v>11</v>
      </c>
      <c r="C7" s="2">
        <f t="shared" si="0"/>
        <v>6.1228863595768743</v>
      </c>
      <c r="D7">
        <v>403.096</v>
      </c>
      <c r="E7">
        <v>2468.1109999999999</v>
      </c>
    </row>
    <row r="8" spans="1:5" x14ac:dyDescent="0.6">
      <c r="A8" s="3" t="s">
        <v>4</v>
      </c>
      <c r="B8" t="s">
        <v>12</v>
      </c>
      <c r="C8" s="2">
        <f t="shared" si="0"/>
        <v>1.7961981696777831</v>
      </c>
      <c r="D8">
        <v>1374.075</v>
      </c>
      <c r="E8">
        <v>2468.1109999999999</v>
      </c>
    </row>
    <row r="9" spans="1:5" x14ac:dyDescent="0.6">
      <c r="A9" s="3"/>
      <c r="B9" t="s">
        <v>7</v>
      </c>
      <c r="C9" s="2">
        <f t="shared" si="0"/>
        <v>3.1408695541514753</v>
      </c>
      <c r="D9">
        <v>785.80499999999995</v>
      </c>
      <c r="E9">
        <v>2468.1109999999999</v>
      </c>
    </row>
    <row r="10" spans="1:5" x14ac:dyDescent="0.6">
      <c r="A10" s="3"/>
      <c r="B10" t="s">
        <v>8</v>
      </c>
      <c r="C10" s="2">
        <f t="shared" si="0"/>
        <v>4.8759070300384248</v>
      </c>
      <c r="D10">
        <v>506.185</v>
      </c>
      <c r="E10">
        <v>2468.1109999999999</v>
      </c>
    </row>
    <row r="11" spans="1:5" x14ac:dyDescent="0.6">
      <c r="A11" s="3"/>
      <c r="B11" t="s">
        <v>9</v>
      </c>
      <c r="C11" s="2">
        <f t="shared" si="0"/>
        <v>5.8126813437335141</v>
      </c>
      <c r="D11">
        <v>424.608</v>
      </c>
      <c r="E11">
        <v>2468.1109999999999</v>
      </c>
    </row>
    <row r="12" spans="1:5" x14ac:dyDescent="0.6">
      <c r="A12" s="3"/>
      <c r="B12" t="s">
        <v>10</v>
      </c>
      <c r="C12" s="2">
        <f t="shared" si="0"/>
        <v>6.1530796423994936</v>
      </c>
      <c r="D12">
        <v>401.11799999999999</v>
      </c>
      <c r="E12">
        <v>2468.1109999999999</v>
      </c>
    </row>
    <row r="13" spans="1:5" x14ac:dyDescent="0.6">
      <c r="A13" s="3"/>
      <c r="B13" t="s">
        <v>11</v>
      </c>
      <c r="C13" s="2">
        <f t="shared" si="0"/>
        <v>6.4826096320732907</v>
      </c>
      <c r="D13">
        <v>380.72800000000001</v>
      </c>
      <c r="E13">
        <v>2468.1109999999999</v>
      </c>
    </row>
    <row r="14" spans="1:5" x14ac:dyDescent="0.6">
      <c r="A14" s="3" t="s">
        <v>5</v>
      </c>
      <c r="B14" t="s">
        <v>12</v>
      </c>
      <c r="C14" s="2">
        <f t="shared" si="0"/>
        <v>1.7881506297006575</v>
      </c>
      <c r="D14">
        <v>1380.259</v>
      </c>
      <c r="E14">
        <v>2468.1109999999999</v>
      </c>
    </row>
    <row r="15" spans="1:5" x14ac:dyDescent="0.6">
      <c r="A15" s="3"/>
      <c r="B15" t="s">
        <v>7</v>
      </c>
      <c r="C15" s="2">
        <f t="shared" si="0"/>
        <v>3.1816583325920971</v>
      </c>
      <c r="D15">
        <v>775.73099999999999</v>
      </c>
      <c r="E15">
        <v>2468.1109999999999</v>
      </c>
    </row>
    <row r="16" spans="1:5" x14ac:dyDescent="0.6">
      <c r="A16" s="3"/>
      <c r="B16" t="s">
        <v>8</v>
      </c>
      <c r="C16" s="2">
        <f t="shared" si="0"/>
        <v>4.8594906427509619</v>
      </c>
      <c r="D16">
        <v>507.89499999999998</v>
      </c>
      <c r="E16">
        <v>2468.1109999999999</v>
      </c>
    </row>
    <row r="17" spans="1:5" x14ac:dyDescent="0.6">
      <c r="A17" s="3"/>
      <c r="B17" t="s">
        <v>9</v>
      </c>
      <c r="C17" s="2">
        <f t="shared" si="0"/>
        <v>5.7690272333522659</v>
      </c>
      <c r="D17">
        <v>427.82100000000003</v>
      </c>
      <c r="E17">
        <v>2468.1109999999999</v>
      </c>
    </row>
    <row r="18" spans="1:5" x14ac:dyDescent="0.6">
      <c r="A18" s="3"/>
      <c r="B18" t="s">
        <v>10</v>
      </c>
      <c r="C18" s="2">
        <f t="shared" si="0"/>
        <v>6.1481748115524688</v>
      </c>
      <c r="D18">
        <v>401.43799999999999</v>
      </c>
      <c r="E18">
        <v>2468.1109999999999</v>
      </c>
    </row>
    <row r="19" spans="1:5" x14ac:dyDescent="0.6">
      <c r="A19" s="3"/>
      <c r="B19" t="s">
        <v>11</v>
      </c>
      <c r="C19" s="2">
        <f t="shared" si="0"/>
        <v>6.5592055958031477</v>
      </c>
      <c r="D19">
        <v>376.28199999999998</v>
      </c>
      <c r="E19">
        <v>2468.1109999999999</v>
      </c>
    </row>
    <row r="20" spans="1:5" x14ac:dyDescent="0.6">
      <c r="A20" s="3" t="s">
        <v>6</v>
      </c>
      <c r="B20" t="s">
        <v>12</v>
      </c>
      <c r="C20" s="2">
        <f t="shared" si="0"/>
        <v>1.7616717998865099</v>
      </c>
      <c r="D20">
        <v>1401.0050000000001</v>
      </c>
      <c r="E20">
        <v>2468.1109999999999</v>
      </c>
    </row>
    <row r="21" spans="1:5" x14ac:dyDescent="0.6">
      <c r="A21" s="3"/>
      <c r="B21" t="s">
        <v>7</v>
      </c>
      <c r="C21" s="2">
        <f t="shared" si="0"/>
        <v>3.1430694487777853</v>
      </c>
      <c r="D21">
        <v>785.255</v>
      </c>
      <c r="E21">
        <v>2468.1109999999999</v>
      </c>
    </row>
    <row r="22" spans="1:5" x14ac:dyDescent="0.6">
      <c r="A22" s="3"/>
      <c r="B22" t="s">
        <v>8</v>
      </c>
      <c r="C22" s="2">
        <f t="shared" si="0"/>
        <v>5.0499054719853333</v>
      </c>
      <c r="D22">
        <v>488.74400000000003</v>
      </c>
      <c r="E22">
        <v>2468.1109999999999</v>
      </c>
    </row>
    <row r="23" spans="1:5" x14ac:dyDescent="0.6">
      <c r="A23" s="3"/>
      <c r="B23" t="s">
        <v>9</v>
      </c>
      <c r="C23" s="2">
        <f t="shared" si="0"/>
        <v>6.0294742036590518</v>
      </c>
      <c r="D23">
        <v>409.34100000000001</v>
      </c>
      <c r="E23">
        <v>2468.1109999999999</v>
      </c>
    </row>
    <row r="24" spans="1:5" x14ac:dyDescent="0.6">
      <c r="A24" s="3"/>
      <c r="B24" t="s">
        <v>10</v>
      </c>
      <c r="C24" s="2">
        <f t="shared" si="0"/>
        <v>6.3928278184290619</v>
      </c>
      <c r="D24">
        <v>386.07499999999999</v>
      </c>
      <c r="E24">
        <v>2468.1109999999999</v>
      </c>
    </row>
    <row r="25" spans="1:5" x14ac:dyDescent="0.6">
      <c r="A25" s="3"/>
      <c r="B25" t="s">
        <v>11</v>
      </c>
      <c r="C25" s="2">
        <f t="shared" si="0"/>
        <v>7.0634710762723261</v>
      </c>
      <c r="D25">
        <v>349.41899999999998</v>
      </c>
      <c r="E25">
        <v>2468.1109999999999</v>
      </c>
    </row>
    <row r="26" spans="1:5" x14ac:dyDescent="0.6">
      <c r="A26" s="5" t="s">
        <v>2</v>
      </c>
      <c r="B26" t="s">
        <v>12</v>
      </c>
      <c r="C26" s="2">
        <f t="shared" si="0"/>
        <v>1.7957041819545665</v>
      </c>
      <c r="D26">
        <v>1374.453</v>
      </c>
      <c r="E26">
        <v>2468.1109999999999</v>
      </c>
    </row>
    <row r="27" spans="1:5" x14ac:dyDescent="0.6">
      <c r="A27" s="5"/>
      <c r="B27" t="s">
        <v>7</v>
      </c>
      <c r="C27" s="2">
        <f t="shared" si="0"/>
        <v>3.1641799655391685</v>
      </c>
      <c r="D27">
        <v>780.01599999999996</v>
      </c>
      <c r="E27">
        <v>2468.1109999999999</v>
      </c>
    </row>
    <row r="28" spans="1:5" x14ac:dyDescent="0.6">
      <c r="A28" s="5"/>
      <c r="B28" t="s">
        <v>8</v>
      </c>
      <c r="C28" s="2">
        <f t="shared" si="0"/>
        <v>4.8845048625156835</v>
      </c>
      <c r="D28">
        <v>505.29399999999998</v>
      </c>
      <c r="E28">
        <v>2468.1109999999999</v>
      </c>
    </row>
    <row r="29" spans="1:5" x14ac:dyDescent="0.6">
      <c r="A29" s="5"/>
      <c r="B29" t="s">
        <v>9</v>
      </c>
      <c r="C29" s="2">
        <f t="shared" si="0"/>
        <v>5.7892575165483686</v>
      </c>
      <c r="D29">
        <v>426.32600000000002</v>
      </c>
      <c r="E29">
        <v>2468.1109999999999</v>
      </c>
    </row>
    <row r="30" spans="1:5" x14ac:dyDescent="0.6">
      <c r="A30" s="5"/>
      <c r="B30" t="s">
        <v>10</v>
      </c>
      <c r="C30" s="2">
        <f t="shared" si="0"/>
        <v>6.0534162983601574</v>
      </c>
      <c r="D30">
        <v>407.72199999999998</v>
      </c>
      <c r="E30">
        <v>2468.1109999999999</v>
      </c>
    </row>
    <row r="31" spans="1:5" x14ac:dyDescent="0.6">
      <c r="A31" s="5"/>
      <c r="B31" t="s">
        <v>11</v>
      </c>
      <c r="C31" s="2">
        <f t="shared" si="0"/>
        <v>6.692075344824314</v>
      </c>
      <c r="D31">
        <v>368.81099999999998</v>
      </c>
      <c r="E31">
        <v>2468.1109999999999</v>
      </c>
    </row>
    <row r="32" spans="1:5" x14ac:dyDescent="0.6">
      <c r="A32" s="1"/>
    </row>
    <row r="33" spans="1:1" x14ac:dyDescent="0.6">
      <c r="A33" s="1"/>
    </row>
    <row r="34" spans="1:1" x14ac:dyDescent="0.6">
      <c r="A34" s="1"/>
    </row>
    <row r="35" spans="1:1" x14ac:dyDescent="0.6">
      <c r="A35" s="1"/>
    </row>
    <row r="36" spans="1:1" x14ac:dyDescent="0.6">
      <c r="A36" s="1"/>
    </row>
  </sheetData>
  <mergeCells count="5">
    <mergeCell ref="A2:A7"/>
    <mergeCell ref="A8:A13"/>
    <mergeCell ref="A14:A19"/>
    <mergeCell ref="A20:A25"/>
    <mergeCell ref="A26:A31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0F00F-7934-4ECA-BDBA-B3300275FB74}">
  <dimension ref="A1:E36"/>
  <sheetViews>
    <sheetView zoomScaleNormal="100" workbookViewId="0">
      <selection activeCell="A26" sqref="A26:A31"/>
    </sheetView>
  </sheetViews>
  <sheetFormatPr defaultRowHeight="18" x14ac:dyDescent="0.6"/>
  <cols>
    <col min="1" max="1" width="14.375" bestFit="1" customWidth="1"/>
    <col min="3" max="4" width="14.3125" bestFit="1" customWidth="1"/>
  </cols>
  <sheetData>
    <row r="1" spans="1:5" x14ac:dyDescent="0.6">
      <c r="A1" t="s">
        <v>0</v>
      </c>
      <c r="B1" t="s">
        <v>1</v>
      </c>
      <c r="C1" t="s">
        <v>13</v>
      </c>
      <c r="D1" t="s">
        <v>14</v>
      </c>
      <c r="E1" t="s">
        <v>15</v>
      </c>
    </row>
    <row r="2" spans="1:5" x14ac:dyDescent="0.6">
      <c r="A2" s="3" t="s">
        <v>3</v>
      </c>
      <c r="B2" t="s">
        <v>12</v>
      </c>
      <c r="C2" s="2">
        <f t="shared" ref="C2:C31" si="0">E2/D2</f>
        <v>1.7501513460943476</v>
      </c>
      <c r="D2">
        <v>3358.1970000000001</v>
      </c>
      <c r="E2">
        <v>5877.3530000000001</v>
      </c>
    </row>
    <row r="3" spans="1:5" x14ac:dyDescent="0.6">
      <c r="A3" s="3"/>
      <c r="B3" t="s">
        <v>7</v>
      </c>
      <c r="C3" s="2">
        <f t="shared" si="0"/>
        <v>2.8894674250182271</v>
      </c>
      <c r="D3">
        <v>2034.0609999999999</v>
      </c>
      <c r="E3">
        <v>5877.3530000000001</v>
      </c>
    </row>
    <row r="4" spans="1:5" x14ac:dyDescent="0.6">
      <c r="A4" s="3"/>
      <c r="B4" t="s">
        <v>8</v>
      </c>
      <c r="C4" s="2">
        <f t="shared" si="0"/>
        <v>4.2289565027184004</v>
      </c>
      <c r="D4">
        <v>1389.788</v>
      </c>
      <c r="E4">
        <v>5877.3530000000001</v>
      </c>
    </row>
    <row r="5" spans="1:5" x14ac:dyDescent="0.6">
      <c r="A5" s="3"/>
      <c r="B5" t="s">
        <v>9</v>
      </c>
      <c r="C5" s="2">
        <f t="shared" si="0"/>
        <v>4.6557458212101359</v>
      </c>
      <c r="D5">
        <v>1262.3869999999999</v>
      </c>
      <c r="E5">
        <v>5877.3530000000001</v>
      </c>
    </row>
    <row r="6" spans="1:5" x14ac:dyDescent="0.6">
      <c r="A6" s="3"/>
      <c r="B6" t="s">
        <v>10</v>
      </c>
      <c r="C6" s="2">
        <f t="shared" si="0"/>
        <v>4.7952790918154715</v>
      </c>
      <c r="D6">
        <v>1225.654</v>
      </c>
      <c r="E6">
        <v>5877.3530000000001</v>
      </c>
    </row>
    <row r="7" spans="1:5" x14ac:dyDescent="0.6">
      <c r="A7" s="3"/>
      <c r="B7" t="s">
        <v>11</v>
      </c>
      <c r="C7" s="2">
        <f t="shared" si="0"/>
        <v>4.8274263814464495</v>
      </c>
      <c r="D7">
        <v>1217.492</v>
      </c>
      <c r="E7">
        <v>5877.3530000000001</v>
      </c>
    </row>
    <row r="8" spans="1:5" x14ac:dyDescent="0.6">
      <c r="A8" s="3" t="s">
        <v>4</v>
      </c>
      <c r="B8" t="s">
        <v>12</v>
      </c>
      <c r="C8" s="2">
        <f t="shared" si="0"/>
        <v>1.7672295281897825</v>
      </c>
      <c r="D8">
        <v>3325.7440000000001</v>
      </c>
      <c r="E8">
        <v>5877.3530000000001</v>
      </c>
    </row>
    <row r="9" spans="1:5" x14ac:dyDescent="0.6">
      <c r="A9" s="3"/>
      <c r="B9" t="s">
        <v>7</v>
      </c>
      <c r="C9" s="2">
        <f t="shared" si="0"/>
        <v>2.7959954539853982</v>
      </c>
      <c r="D9">
        <v>2102.0610000000001</v>
      </c>
      <c r="E9">
        <v>5877.3530000000001</v>
      </c>
    </row>
    <row r="10" spans="1:5" x14ac:dyDescent="0.6">
      <c r="A10" s="3"/>
      <c r="B10" t="s">
        <v>8</v>
      </c>
      <c r="C10" s="2">
        <f t="shared" si="0"/>
        <v>3.7298576304229458</v>
      </c>
      <c r="D10">
        <v>1575.758</v>
      </c>
      <c r="E10">
        <v>5877.3530000000001</v>
      </c>
    </row>
    <row r="11" spans="1:5" x14ac:dyDescent="0.6">
      <c r="A11" s="3"/>
      <c r="B11" t="s">
        <v>9</v>
      </c>
      <c r="C11" s="2">
        <f t="shared" si="0"/>
        <v>3.7997097214230764</v>
      </c>
      <c r="D11">
        <v>1546.79</v>
      </c>
      <c r="E11">
        <v>5877.3530000000001</v>
      </c>
    </row>
    <row r="12" spans="1:5" x14ac:dyDescent="0.6">
      <c r="A12" s="3"/>
      <c r="B12" t="s">
        <v>10</v>
      </c>
      <c r="C12" s="2">
        <f t="shared" si="0"/>
        <v>4.0651667192333019</v>
      </c>
      <c r="D12">
        <v>1445.7840000000001</v>
      </c>
      <c r="E12">
        <v>5877.3530000000001</v>
      </c>
    </row>
    <row r="13" spans="1:5" x14ac:dyDescent="0.6">
      <c r="A13" s="3"/>
      <c r="B13" t="s">
        <v>11</v>
      </c>
      <c r="C13" s="2">
        <f t="shared" si="0"/>
        <v>4.3429016259225435</v>
      </c>
      <c r="D13">
        <v>1353.3240000000001</v>
      </c>
      <c r="E13">
        <v>5877.3530000000001</v>
      </c>
    </row>
    <row r="14" spans="1:5" x14ac:dyDescent="0.6">
      <c r="A14" s="3" t="s">
        <v>5</v>
      </c>
      <c r="B14" t="s">
        <v>12</v>
      </c>
      <c r="C14" s="2">
        <f t="shared" si="0"/>
        <v>1.7322056547208537</v>
      </c>
      <c r="D14">
        <v>3392.9879999999998</v>
      </c>
      <c r="E14">
        <v>5877.3530000000001</v>
      </c>
    </row>
    <row r="15" spans="1:5" x14ac:dyDescent="0.6">
      <c r="A15" s="3"/>
      <c r="B15" t="s">
        <v>7</v>
      </c>
      <c r="C15" s="2">
        <f t="shared" si="0"/>
        <v>2.7829364205641771</v>
      </c>
      <c r="D15">
        <v>2111.9250000000002</v>
      </c>
      <c r="E15">
        <v>5877.3530000000001</v>
      </c>
    </row>
    <row r="16" spans="1:5" x14ac:dyDescent="0.6">
      <c r="A16" s="3"/>
      <c r="B16" t="s">
        <v>8</v>
      </c>
      <c r="C16" s="2">
        <f t="shared" si="0"/>
        <v>3.7112162674996672</v>
      </c>
      <c r="D16">
        <v>1583.673</v>
      </c>
      <c r="E16">
        <v>5877.3530000000001</v>
      </c>
    </row>
    <row r="17" spans="1:5" x14ac:dyDescent="0.6">
      <c r="A17" s="3"/>
      <c r="B17" t="s">
        <v>9</v>
      </c>
      <c r="C17" s="2">
        <f t="shared" si="0"/>
        <v>3.8134939096119318</v>
      </c>
      <c r="D17">
        <v>1541.1990000000001</v>
      </c>
      <c r="E17">
        <v>5877.3530000000001</v>
      </c>
    </row>
    <row r="18" spans="1:5" x14ac:dyDescent="0.6">
      <c r="A18" s="3"/>
      <c r="B18" t="s">
        <v>10</v>
      </c>
      <c r="C18" s="2">
        <f t="shared" si="0"/>
        <v>4.1376755784090653</v>
      </c>
      <c r="D18">
        <v>1420.4480000000001</v>
      </c>
      <c r="E18">
        <v>5877.3530000000001</v>
      </c>
    </row>
    <row r="19" spans="1:5" x14ac:dyDescent="0.6">
      <c r="A19" s="3"/>
      <c r="B19" t="s">
        <v>11</v>
      </c>
      <c r="C19" s="2">
        <f t="shared" si="0"/>
        <v>4.4177404055027143</v>
      </c>
      <c r="D19">
        <v>1330.3979999999999</v>
      </c>
      <c r="E19">
        <v>5877.3530000000001</v>
      </c>
    </row>
    <row r="20" spans="1:5" x14ac:dyDescent="0.6">
      <c r="A20" s="3" t="s">
        <v>6</v>
      </c>
      <c r="B20" t="s">
        <v>12</v>
      </c>
      <c r="C20" s="2">
        <f t="shared" si="0"/>
        <v>1.7608864603544212</v>
      </c>
      <c r="D20">
        <v>3337.7240000000002</v>
      </c>
      <c r="E20">
        <v>5877.3530000000001</v>
      </c>
    </row>
    <row r="21" spans="1:5" x14ac:dyDescent="0.6">
      <c r="A21" s="3"/>
      <c r="B21" t="s">
        <v>7</v>
      </c>
      <c r="C21" s="2">
        <f t="shared" si="0"/>
        <v>2.9364873486815579</v>
      </c>
      <c r="D21">
        <v>2001.491</v>
      </c>
      <c r="E21">
        <v>5877.3530000000001</v>
      </c>
    </row>
    <row r="22" spans="1:5" x14ac:dyDescent="0.6">
      <c r="A22" s="3"/>
      <c r="B22" t="s">
        <v>8</v>
      </c>
      <c r="C22" s="2">
        <f t="shared" si="0"/>
        <v>4.2831356470739124</v>
      </c>
      <c r="D22">
        <v>1372.2080000000001</v>
      </c>
      <c r="E22">
        <v>5877.3530000000001</v>
      </c>
    </row>
    <row r="23" spans="1:5" x14ac:dyDescent="0.6">
      <c r="A23" s="3"/>
      <c r="B23" t="s">
        <v>9</v>
      </c>
      <c r="C23" s="2">
        <f t="shared" si="0"/>
        <v>4.6085139082194733</v>
      </c>
      <c r="D23">
        <v>1275.325</v>
      </c>
      <c r="E23">
        <v>5877.3530000000001</v>
      </c>
    </row>
    <row r="24" spans="1:5" x14ac:dyDescent="0.6">
      <c r="A24" s="3"/>
      <c r="B24" t="s">
        <v>10</v>
      </c>
      <c r="C24" s="2">
        <f t="shared" si="0"/>
        <v>5.0159147798020216</v>
      </c>
      <c r="D24">
        <v>1171.741</v>
      </c>
      <c r="E24">
        <v>5877.3530000000001</v>
      </c>
    </row>
    <row r="25" spans="1:5" x14ac:dyDescent="0.6">
      <c r="A25" s="3"/>
      <c r="B25" t="s">
        <v>11</v>
      </c>
      <c r="C25" s="2">
        <f t="shared" si="0"/>
        <v>5.4182185760814354</v>
      </c>
      <c r="D25">
        <v>1084.739</v>
      </c>
      <c r="E25">
        <v>5877.3530000000001</v>
      </c>
    </row>
    <row r="26" spans="1:5" x14ac:dyDescent="0.6">
      <c r="A26" s="3" t="s">
        <v>2</v>
      </c>
      <c r="B26" t="s">
        <v>12</v>
      </c>
      <c r="C26" s="2">
        <f t="shared" si="0"/>
        <v>1.7265035423950574</v>
      </c>
      <c r="D26">
        <v>3404.194</v>
      </c>
      <c r="E26">
        <v>5877.3530000000001</v>
      </c>
    </row>
    <row r="27" spans="1:5" x14ac:dyDescent="0.6">
      <c r="A27" s="3"/>
      <c r="B27" t="s">
        <v>7</v>
      </c>
      <c r="C27" s="2">
        <f t="shared" si="0"/>
        <v>2.7881538330898925</v>
      </c>
      <c r="D27">
        <v>2107.973</v>
      </c>
      <c r="E27">
        <v>5877.3530000000001</v>
      </c>
    </row>
    <row r="28" spans="1:5" x14ac:dyDescent="0.6">
      <c r="A28" s="3"/>
      <c r="B28" t="s">
        <v>8</v>
      </c>
      <c r="C28" s="2">
        <f t="shared" si="0"/>
        <v>3.754604656273397</v>
      </c>
      <c r="D28">
        <v>1565.3720000000001</v>
      </c>
      <c r="E28">
        <v>5877.3530000000001</v>
      </c>
    </row>
    <row r="29" spans="1:5" x14ac:dyDescent="0.6">
      <c r="A29" s="3"/>
      <c r="B29" t="s">
        <v>9</v>
      </c>
      <c r="C29" s="2">
        <f t="shared" si="0"/>
        <v>3.9296680475730725</v>
      </c>
      <c r="D29">
        <v>1495.636</v>
      </c>
      <c r="E29">
        <v>5877.3530000000001</v>
      </c>
    </row>
    <row r="30" spans="1:5" x14ac:dyDescent="0.6">
      <c r="A30" s="3"/>
      <c r="B30" t="s">
        <v>10</v>
      </c>
      <c r="C30" s="2">
        <f t="shared" si="0"/>
        <v>4.2977621097183407</v>
      </c>
      <c r="D30">
        <v>1367.538</v>
      </c>
      <c r="E30">
        <v>5877.3530000000001</v>
      </c>
    </row>
    <row r="31" spans="1:5" x14ac:dyDescent="0.6">
      <c r="A31" s="3"/>
      <c r="B31" t="s">
        <v>11</v>
      </c>
      <c r="C31" s="2">
        <f t="shared" si="0"/>
        <v>4.4700886358416145</v>
      </c>
      <c r="D31">
        <v>1314.818</v>
      </c>
      <c r="E31">
        <v>5877.3530000000001</v>
      </c>
    </row>
    <row r="32" spans="1:5" x14ac:dyDescent="0.6">
      <c r="A32" s="1"/>
    </row>
    <row r="33" spans="1:1" x14ac:dyDescent="0.6">
      <c r="A33" s="1"/>
    </row>
    <row r="34" spans="1:1" x14ac:dyDescent="0.6">
      <c r="A34" s="1"/>
    </row>
    <row r="35" spans="1:1" x14ac:dyDescent="0.6">
      <c r="A35" s="1"/>
    </row>
    <row r="36" spans="1:1" x14ac:dyDescent="0.6">
      <c r="A36" s="1"/>
    </row>
  </sheetData>
  <mergeCells count="5">
    <mergeCell ref="A2:A7"/>
    <mergeCell ref="A8:A13"/>
    <mergeCell ref="A14:A19"/>
    <mergeCell ref="A20:A25"/>
    <mergeCell ref="A26:A3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2D73-0BF6-4C27-AB26-3846EC48F918}">
  <dimension ref="A1:K31"/>
  <sheetViews>
    <sheetView tabSelected="1" topLeftCell="J1" workbookViewId="0">
      <selection activeCell="A26" sqref="A26:A31"/>
    </sheetView>
  </sheetViews>
  <sheetFormatPr defaultRowHeight="18" x14ac:dyDescent="0.6"/>
  <cols>
    <col min="1" max="1" width="14.375" bestFit="1" customWidth="1"/>
    <col min="3" max="3" width="8.25" customWidth="1"/>
    <col min="4" max="4" width="8.625" customWidth="1"/>
  </cols>
  <sheetData>
    <row r="1" spans="1:11" x14ac:dyDescent="0.6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6">
      <c r="A2" s="3" t="s">
        <v>3</v>
      </c>
      <c r="B2" t="s">
        <v>12</v>
      </c>
      <c r="C2" s="2">
        <v>1.2510460251046025</v>
      </c>
      <c r="D2" s="2">
        <v>1.0508343034536283</v>
      </c>
      <c r="E2" s="2">
        <v>1.7128021360314785</v>
      </c>
      <c r="F2" s="2">
        <v>1.7796203959912669</v>
      </c>
      <c r="G2" s="2">
        <v>2</v>
      </c>
      <c r="H2">
        <f>C2/G2*100</f>
        <v>62.552301255230127</v>
      </c>
      <c r="I2">
        <f>D2/G2*100</f>
        <v>52.541715172681414</v>
      </c>
      <c r="J2">
        <f>E2/G2*100</f>
        <v>85.640106801573921</v>
      </c>
      <c r="K2">
        <f>F2/G2*100</f>
        <v>88.981019799563342</v>
      </c>
    </row>
    <row r="3" spans="1:11" x14ac:dyDescent="0.6">
      <c r="A3" s="3"/>
      <c r="B3" t="s">
        <v>7</v>
      </c>
      <c r="C3" s="2">
        <v>1.9166666666666665</v>
      </c>
      <c r="D3" s="2">
        <v>1.8836076976582428</v>
      </c>
      <c r="E3" s="2">
        <v>3.0796422164388408</v>
      </c>
      <c r="F3" s="2">
        <v>3.3482427601977074</v>
      </c>
      <c r="G3" s="2">
        <v>4</v>
      </c>
      <c r="H3">
        <f t="shared" ref="H3:H31" si="0">C3/G3*100</f>
        <v>47.916666666666664</v>
      </c>
      <c r="I3">
        <f t="shared" ref="I3:I31" si="1">D3/G3*100</f>
        <v>47.090192441456068</v>
      </c>
      <c r="J3">
        <f t="shared" ref="J3:J31" si="2">E3/G3*100</f>
        <v>76.991055410971015</v>
      </c>
      <c r="K3">
        <f t="shared" ref="K3:K31" si="3">F3/G3*100</f>
        <v>83.706069004942691</v>
      </c>
    </row>
    <row r="4" spans="1:11" x14ac:dyDescent="0.6">
      <c r="A4" s="3"/>
      <c r="B4" t="s">
        <v>8</v>
      </c>
      <c r="C4" s="2">
        <v>1.9290322580645161</v>
      </c>
      <c r="D4" s="2">
        <v>2.8972895863052783</v>
      </c>
      <c r="E4" s="2">
        <v>5.1187686363445462</v>
      </c>
      <c r="F4" s="2">
        <v>5.6665271602656784</v>
      </c>
      <c r="G4" s="2">
        <v>8</v>
      </c>
      <c r="H4">
        <f t="shared" si="0"/>
        <v>24.112903225806452</v>
      </c>
      <c r="I4">
        <f t="shared" si="1"/>
        <v>36.216119828815977</v>
      </c>
      <c r="J4">
        <f t="shared" si="2"/>
        <v>63.984607954306824</v>
      </c>
      <c r="K4">
        <f t="shared" si="3"/>
        <v>70.831589503320984</v>
      </c>
    </row>
    <row r="5" spans="1:11" x14ac:dyDescent="0.6">
      <c r="A5" s="3"/>
      <c r="B5" t="s">
        <v>9</v>
      </c>
      <c r="C5" s="2">
        <v>2.0620689655172413</v>
      </c>
      <c r="D5" s="2">
        <v>4.3143919277748273</v>
      </c>
      <c r="E5" s="2">
        <v>5.4577735984237865</v>
      </c>
      <c r="F5" s="2">
        <v>6.4721011658658325</v>
      </c>
      <c r="G5" s="2">
        <v>12</v>
      </c>
      <c r="H5">
        <f t="shared" si="0"/>
        <v>17.183908045977013</v>
      </c>
      <c r="I5">
        <f t="shared" si="1"/>
        <v>35.953266064790228</v>
      </c>
      <c r="J5">
        <f t="shared" si="2"/>
        <v>45.481446653531556</v>
      </c>
      <c r="K5">
        <f t="shared" si="3"/>
        <v>53.93417638221527</v>
      </c>
    </row>
    <row r="6" spans="1:11" x14ac:dyDescent="0.6">
      <c r="A6" s="3"/>
      <c r="B6" t="s">
        <v>10</v>
      </c>
      <c r="C6" s="2">
        <v>2.2651515151515151</v>
      </c>
      <c r="D6" s="2">
        <v>4.8939759036144581</v>
      </c>
      <c r="E6" s="2">
        <v>5.7973268645357683</v>
      </c>
      <c r="F6" s="2">
        <v>7.2348299791811241</v>
      </c>
      <c r="G6" s="2">
        <v>16</v>
      </c>
      <c r="H6">
        <f t="shared" si="0"/>
        <v>14.157196969696969</v>
      </c>
      <c r="I6">
        <f t="shared" si="1"/>
        <v>30.587349397590362</v>
      </c>
      <c r="J6">
        <f t="shared" si="2"/>
        <v>36.233292903348548</v>
      </c>
      <c r="K6">
        <f t="shared" si="3"/>
        <v>45.217687369882029</v>
      </c>
    </row>
    <row r="7" spans="1:11" x14ac:dyDescent="0.6">
      <c r="A7" s="3"/>
      <c r="B7" t="s">
        <v>11</v>
      </c>
      <c r="C7" s="2">
        <v>2.9313725490196081</v>
      </c>
      <c r="D7" s="2">
        <v>4.9901719901719908</v>
      </c>
      <c r="E7" s="2">
        <v>5.8336763509309337</v>
      </c>
      <c r="F7" s="2">
        <v>7.2805544886343796</v>
      </c>
      <c r="G7" s="2">
        <v>20</v>
      </c>
      <c r="H7">
        <f t="shared" si="0"/>
        <v>14.65686274509804</v>
      </c>
      <c r="I7">
        <f t="shared" si="1"/>
        <v>24.950859950859954</v>
      </c>
      <c r="J7">
        <f t="shared" si="2"/>
        <v>29.168381754654671</v>
      </c>
      <c r="K7">
        <f t="shared" si="3"/>
        <v>36.402772443171898</v>
      </c>
    </row>
    <row r="8" spans="1:11" x14ac:dyDescent="0.6">
      <c r="A8" s="3" t="s">
        <v>4</v>
      </c>
      <c r="B8" t="s">
        <v>12</v>
      </c>
      <c r="C8" s="2">
        <v>1.5904255319148934</v>
      </c>
      <c r="D8" s="2">
        <v>1.2607076350093112</v>
      </c>
      <c r="E8" s="2">
        <v>1.7908432389544366</v>
      </c>
      <c r="F8" s="2">
        <v>1.8033793285971533</v>
      </c>
      <c r="G8" s="2">
        <v>2</v>
      </c>
      <c r="H8">
        <f t="shared" si="0"/>
        <v>79.521276595744666</v>
      </c>
      <c r="I8">
        <f t="shared" si="1"/>
        <v>63.035381750465561</v>
      </c>
      <c r="J8">
        <f t="shared" si="2"/>
        <v>89.542161947721837</v>
      </c>
      <c r="K8">
        <f t="shared" si="3"/>
        <v>90.168966429857662</v>
      </c>
    </row>
    <row r="9" spans="1:11" x14ac:dyDescent="0.6">
      <c r="A9" s="3"/>
      <c r="B9" t="s">
        <v>7</v>
      </c>
      <c r="C9" s="2">
        <v>2.3919999999999999</v>
      </c>
      <c r="D9" s="2">
        <v>2.0074128984432917</v>
      </c>
      <c r="E9" s="2">
        <v>3.363124637841119</v>
      </c>
      <c r="F9" s="2">
        <v>3.3439791381998036</v>
      </c>
      <c r="G9" s="2">
        <v>4</v>
      </c>
      <c r="H9">
        <f t="shared" si="0"/>
        <v>59.8</v>
      </c>
      <c r="I9">
        <f t="shared" si="1"/>
        <v>50.185322461082293</v>
      </c>
      <c r="J9">
        <f t="shared" si="2"/>
        <v>84.078115946027978</v>
      </c>
      <c r="K9">
        <f t="shared" si="3"/>
        <v>83.599478454995094</v>
      </c>
    </row>
    <row r="10" spans="1:11" x14ac:dyDescent="0.6">
      <c r="A10" s="3"/>
      <c r="B10" t="s">
        <v>8</v>
      </c>
      <c r="C10" s="2">
        <v>2.9603960396039599</v>
      </c>
      <c r="D10" s="2">
        <v>3.5460497599301619</v>
      </c>
      <c r="E10" s="2">
        <v>5.8261472275334603</v>
      </c>
      <c r="F10" s="2">
        <v>5.8706148007162726</v>
      </c>
      <c r="G10" s="2">
        <v>8</v>
      </c>
      <c r="H10">
        <f t="shared" si="0"/>
        <v>37.004950495049499</v>
      </c>
      <c r="I10">
        <f t="shared" si="1"/>
        <v>44.325621999127023</v>
      </c>
      <c r="J10">
        <f t="shared" si="2"/>
        <v>72.826840344168247</v>
      </c>
      <c r="K10">
        <f t="shared" si="3"/>
        <v>73.382685008953402</v>
      </c>
    </row>
    <row r="11" spans="1:11" x14ac:dyDescent="0.6">
      <c r="A11" s="3"/>
      <c r="B11" t="s">
        <v>9</v>
      </c>
      <c r="C11" s="2">
        <v>2.5338983050847457</v>
      </c>
      <c r="D11" s="2">
        <v>4.6797235023041477</v>
      </c>
      <c r="E11" s="2">
        <v>6.087453800819099</v>
      </c>
      <c r="F11" s="2">
        <v>6.7844922396121436</v>
      </c>
      <c r="G11" s="2">
        <v>12</v>
      </c>
      <c r="H11">
        <f t="shared" si="0"/>
        <v>21.115819209039547</v>
      </c>
      <c r="I11">
        <f t="shared" si="1"/>
        <v>38.997695852534562</v>
      </c>
      <c r="J11">
        <f t="shared" si="2"/>
        <v>50.728781673492499</v>
      </c>
      <c r="K11">
        <f t="shared" si="3"/>
        <v>56.537435330101196</v>
      </c>
    </row>
    <row r="12" spans="1:11" x14ac:dyDescent="0.6">
      <c r="A12" s="3"/>
      <c r="B12" t="s">
        <v>10</v>
      </c>
      <c r="C12" s="2">
        <v>2.7943925233644857</v>
      </c>
      <c r="D12" s="2">
        <v>5.2043561819346582</v>
      </c>
      <c r="E12" s="2">
        <v>6.2443260412930996</v>
      </c>
      <c r="F12" s="2">
        <v>7.4780079475518964</v>
      </c>
      <c r="G12" s="2">
        <v>16</v>
      </c>
      <c r="H12">
        <f t="shared" si="0"/>
        <v>17.464953271028037</v>
      </c>
      <c r="I12">
        <f t="shared" si="1"/>
        <v>32.527226137091617</v>
      </c>
      <c r="J12">
        <f t="shared" si="2"/>
        <v>39.027037758081875</v>
      </c>
      <c r="K12">
        <f t="shared" si="3"/>
        <v>46.73754967219935</v>
      </c>
    </row>
    <row r="13" spans="1:11" x14ac:dyDescent="0.6">
      <c r="A13" s="3"/>
      <c r="B13" t="s">
        <v>11</v>
      </c>
      <c r="C13" s="2">
        <v>2.0067114093959733</v>
      </c>
      <c r="D13" s="2">
        <v>4.870503597122303</v>
      </c>
      <c r="E13" s="2">
        <v>6.3174726584771683</v>
      </c>
      <c r="F13" s="2">
        <v>7.9720663128756479</v>
      </c>
      <c r="G13" s="2">
        <v>20</v>
      </c>
      <c r="H13">
        <f t="shared" si="0"/>
        <v>10.033557046979865</v>
      </c>
      <c r="I13">
        <f t="shared" si="1"/>
        <v>24.352517985611517</v>
      </c>
      <c r="J13">
        <f t="shared" si="2"/>
        <v>31.587363292385838</v>
      </c>
      <c r="K13">
        <f t="shared" si="3"/>
        <v>39.860331564378235</v>
      </c>
    </row>
    <row r="14" spans="1:11" x14ac:dyDescent="0.6">
      <c r="A14" s="3" t="s">
        <v>5</v>
      </c>
      <c r="B14" t="s">
        <v>12</v>
      </c>
      <c r="C14" s="2">
        <v>1.6703910614525139</v>
      </c>
      <c r="D14" s="2">
        <v>1.3472636815920398</v>
      </c>
      <c r="E14" s="2">
        <v>1.7852037378797199</v>
      </c>
      <c r="F14" s="2">
        <v>1.7348874903066267</v>
      </c>
      <c r="G14" s="2">
        <v>2</v>
      </c>
      <c r="H14">
        <f t="shared" si="0"/>
        <v>83.519553072625698</v>
      </c>
      <c r="I14">
        <f t="shared" si="1"/>
        <v>67.363184079601993</v>
      </c>
      <c r="J14">
        <f t="shared" si="2"/>
        <v>89.260186893985988</v>
      </c>
      <c r="K14">
        <f t="shared" si="3"/>
        <v>86.74437451533133</v>
      </c>
    </row>
    <row r="15" spans="1:11" x14ac:dyDescent="0.6">
      <c r="A15" s="3"/>
      <c r="B15" t="s">
        <v>7</v>
      </c>
      <c r="C15" s="2">
        <v>2.5555555555555554</v>
      </c>
      <c r="D15" s="2">
        <v>2.3726635514018692</v>
      </c>
      <c r="E15" s="2">
        <v>3.3169052413868174</v>
      </c>
      <c r="F15" s="2">
        <v>3.2265661026705992</v>
      </c>
      <c r="G15" s="2">
        <v>4</v>
      </c>
      <c r="H15">
        <f t="shared" si="0"/>
        <v>63.888888888888886</v>
      </c>
      <c r="I15">
        <f t="shared" si="1"/>
        <v>59.316588785046733</v>
      </c>
      <c r="J15">
        <f t="shared" si="2"/>
        <v>82.922631034670431</v>
      </c>
      <c r="K15">
        <f t="shared" si="3"/>
        <v>80.664152566764983</v>
      </c>
    </row>
    <row r="16" spans="1:11" x14ac:dyDescent="0.6">
      <c r="A16" s="3"/>
      <c r="B16" t="s">
        <v>8</v>
      </c>
      <c r="C16" s="2">
        <v>3.21505376344086</v>
      </c>
      <c r="D16" s="2">
        <v>4.017804154302671</v>
      </c>
      <c r="E16" s="2">
        <v>5.8886365832447574</v>
      </c>
      <c r="F16" s="2">
        <v>5.6889139901123</v>
      </c>
      <c r="G16" s="2">
        <v>8</v>
      </c>
      <c r="H16">
        <f t="shared" si="0"/>
        <v>40.188172043010752</v>
      </c>
      <c r="I16">
        <f t="shared" si="1"/>
        <v>50.222551928783389</v>
      </c>
      <c r="J16">
        <f t="shared" si="2"/>
        <v>73.607957290559469</v>
      </c>
      <c r="K16">
        <f t="shared" si="3"/>
        <v>71.111424876403746</v>
      </c>
    </row>
    <row r="17" spans="1:11" x14ac:dyDescent="0.6">
      <c r="A17" s="3"/>
      <c r="B17" t="s">
        <v>9</v>
      </c>
      <c r="C17" s="2">
        <v>3.2857142857142856</v>
      </c>
      <c r="D17" s="2">
        <v>4.9296116504854375</v>
      </c>
      <c r="E17" s="2">
        <v>6.0841112164927864</v>
      </c>
      <c r="F17" s="2">
        <v>6.5605212980850913</v>
      </c>
      <c r="G17" s="2">
        <v>12</v>
      </c>
      <c r="H17">
        <f t="shared" si="0"/>
        <v>27.38095238095238</v>
      </c>
      <c r="I17">
        <f t="shared" si="1"/>
        <v>41.080097087378647</v>
      </c>
      <c r="J17">
        <f t="shared" si="2"/>
        <v>50.700926804106551</v>
      </c>
      <c r="K17">
        <f t="shared" si="3"/>
        <v>54.671010817375766</v>
      </c>
    </row>
    <row r="18" spans="1:11" x14ac:dyDescent="0.6">
      <c r="A18" s="3"/>
      <c r="B18" t="s">
        <v>10</v>
      </c>
      <c r="C18" s="2">
        <v>3.5595238095238093</v>
      </c>
      <c r="D18" s="2">
        <v>5.1223203026481716</v>
      </c>
      <c r="E18" s="2">
        <v>6.2995141616704569</v>
      </c>
      <c r="F18" s="2">
        <v>7.4809592491335319</v>
      </c>
      <c r="G18" s="2">
        <v>16</v>
      </c>
      <c r="H18">
        <f t="shared" si="0"/>
        <v>22.247023809523807</v>
      </c>
      <c r="I18">
        <f t="shared" si="1"/>
        <v>32.01450189155107</v>
      </c>
      <c r="J18">
        <f t="shared" si="2"/>
        <v>39.371963510440352</v>
      </c>
      <c r="K18">
        <f t="shared" si="3"/>
        <v>46.755995307084575</v>
      </c>
    </row>
    <row r="19" spans="1:11" x14ac:dyDescent="0.6">
      <c r="A19" s="3"/>
      <c r="B19" t="s">
        <v>11</v>
      </c>
      <c r="C19" s="2">
        <v>3.25</v>
      </c>
      <c r="D19" s="2">
        <v>5.0679975046787282</v>
      </c>
      <c r="E19" s="2">
        <v>6.3378399459206483</v>
      </c>
      <c r="F19" s="2">
        <v>7.9914377917628032</v>
      </c>
      <c r="G19" s="2">
        <v>20</v>
      </c>
      <c r="H19">
        <f t="shared" si="0"/>
        <v>16.25</v>
      </c>
      <c r="I19">
        <f t="shared" si="1"/>
        <v>25.339987523393642</v>
      </c>
      <c r="J19">
        <f t="shared" si="2"/>
        <v>31.689199729603239</v>
      </c>
      <c r="K19">
        <f t="shared" si="3"/>
        <v>39.957188958814015</v>
      </c>
    </row>
    <row r="20" spans="1:11" x14ac:dyDescent="0.6">
      <c r="A20" s="3" t="s">
        <v>6</v>
      </c>
      <c r="B20" t="s">
        <v>12</v>
      </c>
      <c r="C20" s="2">
        <v>1.60752688172043</v>
      </c>
      <c r="D20" s="2">
        <v>1.3674465578185493</v>
      </c>
      <c r="E20" s="2">
        <v>1.7717612513082917</v>
      </c>
      <c r="F20" s="2">
        <v>1.735184904705712</v>
      </c>
      <c r="G20" s="2">
        <v>2</v>
      </c>
      <c r="H20">
        <f t="shared" si="0"/>
        <v>80.376344086021504</v>
      </c>
      <c r="I20">
        <f t="shared" si="1"/>
        <v>68.372327890927465</v>
      </c>
      <c r="J20">
        <f t="shared" si="2"/>
        <v>88.588062565414589</v>
      </c>
      <c r="K20">
        <f t="shared" si="3"/>
        <v>86.759245235285604</v>
      </c>
    </row>
    <row r="21" spans="1:11" x14ac:dyDescent="0.6">
      <c r="A21" s="3"/>
      <c r="B21" t="s">
        <v>7</v>
      </c>
      <c r="C21" s="2">
        <v>2.5338983050847457</v>
      </c>
      <c r="D21" s="2">
        <v>2.7170568561872908</v>
      </c>
      <c r="E21" s="2">
        <v>3.3412741926640712</v>
      </c>
      <c r="F21" s="2">
        <v>3.2979112428468849</v>
      </c>
      <c r="G21" s="2">
        <v>4</v>
      </c>
      <c r="H21">
        <f t="shared" si="0"/>
        <v>63.347457627118644</v>
      </c>
      <c r="I21">
        <f t="shared" si="1"/>
        <v>67.926421404682273</v>
      </c>
      <c r="J21">
        <f t="shared" si="2"/>
        <v>83.531854816601779</v>
      </c>
      <c r="K21">
        <f t="shared" si="3"/>
        <v>82.447781071172116</v>
      </c>
    </row>
    <row r="22" spans="1:11" x14ac:dyDescent="0.6">
      <c r="A22" s="3"/>
      <c r="B22" t="s">
        <v>8</v>
      </c>
      <c r="C22" s="2">
        <v>3.2857142857142856</v>
      </c>
      <c r="D22" s="2">
        <v>4.7013888888888893</v>
      </c>
      <c r="E22" s="2">
        <v>6.0771340247307535</v>
      </c>
      <c r="F22" s="2">
        <v>5.8426167218682217</v>
      </c>
      <c r="G22" s="2">
        <v>8</v>
      </c>
      <c r="H22">
        <f t="shared" si="0"/>
        <v>41.071428571428569</v>
      </c>
      <c r="I22">
        <f t="shared" si="1"/>
        <v>58.767361111111114</v>
      </c>
      <c r="J22">
        <f t="shared" si="2"/>
        <v>75.964175309134419</v>
      </c>
      <c r="K22">
        <f t="shared" si="3"/>
        <v>73.032709023352766</v>
      </c>
    </row>
    <row r="23" spans="1:11" x14ac:dyDescent="0.6">
      <c r="A23" s="3"/>
      <c r="B23" t="s">
        <v>9</v>
      </c>
      <c r="C23" s="2">
        <v>3.4367816091954024</v>
      </c>
      <c r="D23" s="2">
        <v>5.5190217391304355</v>
      </c>
      <c r="E23" s="2">
        <v>6.2058553971486754</v>
      </c>
      <c r="F23" s="2">
        <v>6.8666245134264656</v>
      </c>
      <c r="G23" s="2">
        <v>12</v>
      </c>
      <c r="H23">
        <f t="shared" si="0"/>
        <v>28.639846743295021</v>
      </c>
      <c r="I23">
        <f t="shared" si="1"/>
        <v>45.991847826086961</v>
      </c>
      <c r="J23">
        <f t="shared" si="2"/>
        <v>51.715461642905623</v>
      </c>
      <c r="K23">
        <f t="shared" si="3"/>
        <v>57.221870945220545</v>
      </c>
    </row>
    <row r="24" spans="1:11" x14ac:dyDescent="0.6">
      <c r="A24" s="3"/>
      <c r="B24" t="s">
        <v>10</v>
      </c>
      <c r="C24" s="2">
        <v>3.3977272727272729</v>
      </c>
      <c r="D24" s="2">
        <v>5.6495132127955499</v>
      </c>
      <c r="E24" s="2">
        <v>6.4287673400495802</v>
      </c>
      <c r="F24" s="2">
        <v>7.7349443179035937</v>
      </c>
      <c r="G24" s="2">
        <v>16</v>
      </c>
      <c r="H24">
        <f t="shared" si="0"/>
        <v>21.235795454545457</v>
      </c>
      <c r="I24">
        <f t="shared" si="1"/>
        <v>35.309457579972189</v>
      </c>
      <c r="J24">
        <f t="shared" si="2"/>
        <v>40.179795875309878</v>
      </c>
      <c r="K24">
        <f t="shared" si="3"/>
        <v>48.343401986897462</v>
      </c>
    </row>
    <row r="25" spans="1:11" x14ac:dyDescent="0.6">
      <c r="A25" s="3"/>
      <c r="B25" t="s">
        <v>11</v>
      </c>
      <c r="C25" s="2">
        <v>3.3977272727272729</v>
      </c>
      <c r="D25" s="2">
        <v>5.6260387811634356</v>
      </c>
      <c r="E25" s="2">
        <v>6.3910125321168261</v>
      </c>
      <c r="F25" s="2">
        <v>8.3878206159688471</v>
      </c>
      <c r="G25" s="2">
        <v>20</v>
      </c>
      <c r="H25">
        <f t="shared" si="0"/>
        <v>16.988636363636363</v>
      </c>
      <c r="I25">
        <f t="shared" si="1"/>
        <v>28.13019390581718</v>
      </c>
      <c r="J25">
        <f t="shared" si="2"/>
        <v>31.955062660584133</v>
      </c>
      <c r="K25">
        <f t="shared" si="3"/>
        <v>41.939103079844237</v>
      </c>
    </row>
    <row r="26" spans="1:11" x14ac:dyDescent="0.6">
      <c r="A26" s="3" t="s">
        <v>2</v>
      </c>
      <c r="B26" t="s">
        <v>12</v>
      </c>
      <c r="C26" s="2">
        <v>1.6703910614525139</v>
      </c>
      <c r="D26" s="2">
        <v>1.4814004376367615</v>
      </c>
      <c r="E26" s="2">
        <v>1.7918436953293835</v>
      </c>
      <c r="F26" s="2">
        <v>1.7344891725340397</v>
      </c>
      <c r="G26" s="2">
        <v>2</v>
      </c>
      <c r="H26">
        <f t="shared" si="0"/>
        <v>83.519553072625698</v>
      </c>
      <c r="I26">
        <f t="shared" si="1"/>
        <v>74.070021881838073</v>
      </c>
      <c r="J26">
        <f t="shared" si="2"/>
        <v>89.592184766469174</v>
      </c>
      <c r="K26">
        <f t="shared" si="3"/>
        <v>86.724458626701988</v>
      </c>
    </row>
    <row r="27" spans="1:11" x14ac:dyDescent="0.6">
      <c r="A27" s="3"/>
      <c r="B27" t="s">
        <v>7</v>
      </c>
      <c r="C27" s="2">
        <v>2.5126050420168067</v>
      </c>
      <c r="D27" s="2">
        <v>2.900392716886826</v>
      </c>
      <c r="E27" s="2">
        <v>3.3007366083518384</v>
      </c>
      <c r="F27" s="2">
        <v>3.274645299292954</v>
      </c>
      <c r="G27" s="2">
        <v>4</v>
      </c>
      <c r="H27">
        <f t="shared" si="0"/>
        <v>62.815126050420169</v>
      </c>
      <c r="I27">
        <f t="shared" si="1"/>
        <v>72.509817922170654</v>
      </c>
      <c r="J27">
        <f t="shared" si="2"/>
        <v>82.518415208795957</v>
      </c>
      <c r="K27">
        <f t="shared" si="3"/>
        <v>81.866132482323849</v>
      </c>
    </row>
    <row r="28" spans="1:11" x14ac:dyDescent="0.6">
      <c r="A28" s="3"/>
      <c r="B28" t="s">
        <v>8</v>
      </c>
      <c r="C28" s="2">
        <v>3.3595505617977528</v>
      </c>
      <c r="D28" s="2">
        <v>4.7205113306217319</v>
      </c>
      <c r="E28" s="2">
        <v>5.8325596975642435</v>
      </c>
      <c r="F28" s="2">
        <v>5.6182482499205122</v>
      </c>
      <c r="G28" s="2">
        <v>8</v>
      </c>
      <c r="H28">
        <f t="shared" si="0"/>
        <v>41.99438202247191</v>
      </c>
      <c r="I28">
        <f t="shared" si="1"/>
        <v>59.006391632771646</v>
      </c>
      <c r="J28">
        <f t="shared" si="2"/>
        <v>72.906996219553051</v>
      </c>
      <c r="K28">
        <f t="shared" si="3"/>
        <v>70.228103124006395</v>
      </c>
    </row>
    <row r="29" spans="1:11" x14ac:dyDescent="0.6">
      <c r="A29" s="3"/>
      <c r="B29" t="s">
        <v>9</v>
      </c>
      <c r="C29" s="2">
        <v>3.5176470588235289</v>
      </c>
      <c r="D29" s="2">
        <v>5.5911906400550588</v>
      </c>
      <c r="E29" s="2">
        <v>6.0239707408688776</v>
      </c>
      <c r="F29" s="2">
        <v>6.6090564458870071</v>
      </c>
      <c r="G29" s="2">
        <v>12</v>
      </c>
      <c r="H29">
        <f t="shared" si="0"/>
        <v>29.313725490196074</v>
      </c>
      <c r="I29">
        <f t="shared" si="1"/>
        <v>46.593255333792158</v>
      </c>
      <c r="J29">
        <f t="shared" si="2"/>
        <v>50.199756173907318</v>
      </c>
      <c r="K29">
        <f t="shared" si="3"/>
        <v>55.075470382391721</v>
      </c>
    </row>
    <row r="30" spans="1:11" x14ac:dyDescent="0.6">
      <c r="A30" s="3"/>
      <c r="B30" t="s">
        <v>10</v>
      </c>
      <c r="C30" s="2">
        <v>3.7848101265822782</v>
      </c>
      <c r="D30" s="2">
        <v>5.7130801687763721</v>
      </c>
      <c r="E30" s="2">
        <v>6.3319133461478518</v>
      </c>
      <c r="F30" s="2">
        <v>7.3743333286177091</v>
      </c>
      <c r="G30" s="2">
        <v>16</v>
      </c>
      <c r="H30">
        <f t="shared" si="0"/>
        <v>23.655063291139239</v>
      </c>
      <c r="I30">
        <f t="shared" si="1"/>
        <v>35.706751054852326</v>
      </c>
      <c r="J30">
        <f t="shared" si="2"/>
        <v>39.574458413424075</v>
      </c>
      <c r="K30">
        <f t="shared" si="3"/>
        <v>46.089583303860678</v>
      </c>
    </row>
    <row r="31" spans="1:11" x14ac:dyDescent="0.6">
      <c r="A31" s="3"/>
      <c r="B31" t="s">
        <v>11</v>
      </c>
      <c r="C31" s="2">
        <v>3.4367816091954024</v>
      </c>
      <c r="D31" s="2">
        <v>5.7987152034261245</v>
      </c>
      <c r="E31" s="2">
        <v>6.3398179453836141</v>
      </c>
      <c r="F31" s="2">
        <v>7.9792050942544215</v>
      </c>
      <c r="G31" s="2">
        <v>20</v>
      </c>
      <c r="H31">
        <f t="shared" si="0"/>
        <v>17.183908045977013</v>
      </c>
      <c r="I31">
        <f t="shared" si="1"/>
        <v>28.993576017130625</v>
      </c>
      <c r="J31">
        <f t="shared" si="2"/>
        <v>31.699089726918071</v>
      </c>
      <c r="K31">
        <f t="shared" si="3"/>
        <v>39.896025471272104</v>
      </c>
    </row>
  </sheetData>
  <mergeCells count="5">
    <mergeCell ref="A2:A7"/>
    <mergeCell ref="A8:A13"/>
    <mergeCell ref="A14:A19"/>
    <mergeCell ref="A20:A25"/>
    <mergeCell ref="A26:A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n12d4</vt:lpstr>
      <vt:lpstr>n12d6</vt:lpstr>
      <vt:lpstr>n12d8</vt:lpstr>
      <vt:lpstr>n16d4</vt:lpstr>
      <vt:lpstr>n16d6</vt:lpstr>
      <vt:lpstr>n16d8</vt:lpstr>
      <vt:lpstr>n20d4</vt:lpstr>
      <vt:lpstr>n20d6</vt:lpstr>
      <vt:lpstr>n20d8</vt:lpstr>
      <vt:lpstr>n24d4</vt:lpstr>
      <vt:lpstr>n24d6</vt:lpstr>
      <vt:lpstr>n24d8</vt:lpstr>
      <vt:lpstr>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무함마드카젬팔라마드바리</dc:creator>
  <cp:lastModifiedBy>무함마드카젬팔라마드바리</cp:lastModifiedBy>
  <cp:lastPrinted>2026-10-12T11:59:58Z</cp:lastPrinted>
  <dcterms:created xsi:type="dcterms:W3CDTF">2026-10-12T02:39:29Z</dcterms:created>
  <dcterms:modified xsi:type="dcterms:W3CDTF">2026-10-13T08:22:08Z</dcterms:modified>
</cp:coreProperties>
</file>